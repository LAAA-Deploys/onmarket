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F1758C63-BE29-4DBA-83A9-0C347A4D03B3}" xr6:coauthVersionLast="47" xr6:coauthVersionMax="47" xr10:uidLastSave="{00000000-0000-0000-0000-000000000000}"/>
  <bookViews>
    <workbookView xWindow="-120" yWindow="-120" windowWidth="29040" windowHeight="15720" activeTab="1" xr2:uid="{10C09107-EE2A-4550-ACE1-FB8BDC51A4CA}"/>
  </bookViews>
  <sheets>
    <sheet name="Assumptions" sheetId="1" r:id="rId1"/>
    <sheet name="06 2619 S Sepulveda Blvd" sheetId="2" r:id="rId2"/>
  </sheets>
  <definedNames>
    <definedName name="_xlnm.Print_Area" localSheetId="1">'06 2619 S Sepulveda Blvd'!$A$1:$N$78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D51" i="2"/>
  <c r="C51" i="2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D45" i="2"/>
  <c r="C45" i="2"/>
  <c r="B40" i="2"/>
  <c r="B39" i="2"/>
  <c r="B41" i="2" s="1"/>
  <c r="D33" i="2"/>
  <c r="C33" i="2" s="1"/>
  <c r="B33" i="2"/>
  <c r="D32" i="2"/>
  <c r="E32" i="2" s="1"/>
  <c r="D31" i="2"/>
  <c r="E31" i="2" s="1"/>
  <c r="E33" i="2" s="1"/>
  <c r="C37" i="2" s="1"/>
  <c r="E30" i="2"/>
  <c r="D30" i="2"/>
  <c r="B24" i="2"/>
  <c r="B23" i="2"/>
  <c r="C62" i="2" l="1"/>
  <c r="C40" i="2"/>
  <c r="C39" i="2"/>
  <c r="C41" i="2" s="1"/>
  <c r="C47" i="2" s="1"/>
  <c r="D47" i="2" s="1"/>
  <c r="D53" i="2" s="1"/>
  <c r="B53" i="2"/>
  <c r="B60" i="2"/>
  <c r="D54" i="2" l="1"/>
  <c r="D55" i="2"/>
  <c r="B61" i="2"/>
  <c r="B63" i="2"/>
  <c r="B54" i="2"/>
  <c r="E53" i="2"/>
  <c r="B56" i="2"/>
  <c r="B55" i="2"/>
  <c r="C60" i="2"/>
  <c r="C53" i="2"/>
  <c r="C54" i="2" l="1"/>
  <c r="C55" i="2"/>
  <c r="C61" i="2"/>
  <c r="B67" i="2"/>
  <c r="B68" i="2" s="1"/>
  <c r="C63" i="2"/>
  <c r="B70" i="2" l="1"/>
  <c r="B69" i="2"/>
  <c r="B71" i="2" l="1"/>
  <c r="B72" i="2"/>
  <c r="B73" i="2" s="1"/>
</calcChain>
</file>

<file path=xl/sharedStrings.xml><?xml version="1.0" encoding="utf-8"?>
<sst xmlns="http://schemas.openxmlformats.org/spreadsheetml/2006/main" count="151" uniqueCount="141">
  <si>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</si>
  <si>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</si>
  <si>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</si>
  <si>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</si>
  <si>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</si>
  <si>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</si>
  <si>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</si>
  <si>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</si>
  <si>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</si>
  <si>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</si>
  <si>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</si>
  <si>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</si>
  <si>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</si>
  <si>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</si>
  <si>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</si>
  <si>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</si>
  <si>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</si>
  <si>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</si>
  <si>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</si>
  <si>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</si>
  <si>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</si>
  <si>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</si>
  <si>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</si>
  <si>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</si>
  <si>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</si>
  <si>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</si>
  <si>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</si>
  <si>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</si>
  <si>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</si>
  <si>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</si>
  <si>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</si>
  <si>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</si>
  <si>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</si>
  <si>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</si>
  <si>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</si>
  <si>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</si>
  <si>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</si>
  <si>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</si>
  <si>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</si>
  <si>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</si>
  <si>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</si>
  <si>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</si>
  <si>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</si>
  <si>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</si>
  <si>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</si>
  <si>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</si>
  <si>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</si>
  <si>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2619 S Sepulveda Blvd</t>
  </si>
  <si>
    <t>Los Angeles, CA 90064  |  West LA / Rancho Park</t>
  </si>
  <si>
    <t>LoopNet listing</t>
  </si>
  <si>
    <t>Data pulled 9/17/2026 from LoopNet public listing</t>
  </si>
  <si>
    <t>NOTE: $325K reduction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</si>
  <si>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</si>
  <si>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</si>
  <si>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</si>
  <si>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</si>
  <si>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</si>
  <si>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</si>
  <si>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</si>
  <si>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</si>
  <si>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</si>
  <si>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LAR3</t>
  </si>
  <si>
    <t>Occupancy per listing</t>
  </si>
  <si>
    <t>97%</t>
  </si>
  <si>
    <t>APN</t>
  </si>
  <si>
    <t>4256-013-043</t>
  </si>
  <si>
    <t>Assessed value (current)</t>
  </si>
  <si>
    <t>Listing broker(s)</t>
  </si>
  <si>
    <t>Jonathan Taksa</t>
  </si>
  <si>
    <t>Date on market</t>
  </si>
  <si>
    <t>5/27/2026</t>
  </si>
  <si>
    <t>Listing last updated</t>
  </si>
  <si>
    <t>9/11/2026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</si>
  <si>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</si>
  <si>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</si>
  <si>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</si>
  <si>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</si>
  <si>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</si>
  <si>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</si>
  <si>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</si>
  <si>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</si>
  <si>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</si>
  <si>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</si>
  <si>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</si>
  <si>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</si>
  <si>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</si>
  <si>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 Ba  (~975 SF)</t>
  </si>
  <si>
    <t>Allocated from published GRM (price / GRM) using LAAA bed weights</t>
  </si>
  <si>
    <t>1 Bd / 1 Ba  (~650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</si>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</sst>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735C420-26B2-4E46-8073-4A043559671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619-S-Sepulveda-Blvd-Los-Angeles-CA/406808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0DB6-8987-40B5-BDBE-AC99497DE811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8D5D-99CB-4154-9920-239307001A2C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29</v>
      </c>
    </row>
    <row r="8" spans="1:3" x14ac:dyDescent="0.25">
      <c r="A8" t="s">
        <v>54</v>
      </c>
      <c r="B8" s="15">
        <v>19116</v>
      </c>
    </row>
    <row r="9" spans="1:3" x14ac:dyDescent="0.25">
      <c r="A9" t="s">
        <v>55</v>
      </c>
      <c r="B9" s="15">
        <v>20038</v>
      </c>
    </row>
    <row r="10" spans="1:3" x14ac:dyDescent="0.25">
      <c r="A10" t="s">
        <v>56</v>
      </c>
      <c r="B10" s="16">
        <v>0.46</v>
      </c>
    </row>
    <row r="11" spans="1:3" x14ac:dyDescent="0.25">
      <c r="A11" t="s">
        <v>57</v>
      </c>
      <c r="B11">
        <v>1974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1010303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5575000</v>
      </c>
    </row>
    <row r="23" spans="1:6" x14ac:dyDescent="0.25">
      <c r="A23" t="s">
        <v>75</v>
      </c>
      <c r="B23" s="8">
        <f>IFERROR(B22/B7,"")</f>
        <v>192241.37931034484</v>
      </c>
    </row>
    <row r="24" spans="1:6" x14ac:dyDescent="0.25">
      <c r="A24" t="s">
        <v>76</v>
      </c>
      <c r="B24" s="17">
        <f>IFERROR(B22/B8,"")</f>
        <v>291.64051056706421</v>
      </c>
    </row>
    <row r="25" spans="1:6" x14ac:dyDescent="0.25">
      <c r="A25" t="s">
        <v>77</v>
      </c>
      <c r="B25" s="18">
        <v>5.9200000000000003E-2</v>
      </c>
    </row>
    <row r="26" spans="1:6" x14ac:dyDescent="0.25">
      <c r="A26" t="s">
        <v>78</v>
      </c>
      <c r="B26" s="19">
        <v>10.51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3</v>
      </c>
      <c r="C30" s="21">
        <v>2282</v>
      </c>
      <c r="D30" s="8">
        <f>B30*C30</f>
        <v>6846</v>
      </c>
      <c r="E30" s="8">
        <f>D30*12</f>
        <v>82152</v>
      </c>
      <c r="F30" s="2" t="s">
        <v>87</v>
      </c>
    </row>
    <row r="31" spans="1:6" x14ac:dyDescent="0.25">
      <c r="A31" t="s">
        <v>88</v>
      </c>
      <c r="B31" s="15">
        <v>13</v>
      </c>
      <c r="C31" s="21">
        <v>1690</v>
      </c>
      <c r="D31" s="8">
        <f>B31*C31</f>
        <v>21970</v>
      </c>
      <c r="E31" s="8">
        <f>D31*12</f>
        <v>263640</v>
      </c>
      <c r="F31" s="2" t="s">
        <v>87</v>
      </c>
    </row>
    <row r="32" spans="1:6" x14ac:dyDescent="0.25">
      <c r="A32" t="s">
        <v>34</v>
      </c>
      <c r="B32" s="15">
        <v>13</v>
      </c>
      <c r="C32" s="21">
        <v>1183</v>
      </c>
      <c r="D32" s="8">
        <f>B32*C32</f>
        <v>15379</v>
      </c>
      <c r="E32" s="8">
        <f>D32*12</f>
        <v>184548</v>
      </c>
      <c r="F32" s="2" t="s">
        <v>87</v>
      </c>
    </row>
    <row r="33" spans="1:6" x14ac:dyDescent="0.25">
      <c r="A33" s="22" t="s">
        <v>89</v>
      </c>
      <c r="B33" s="23">
        <f>SUM(B30:B32)</f>
        <v>29</v>
      </c>
      <c r="C33" s="24">
        <f>IFERROR(D33/B33,"")</f>
        <v>1523.9655172413793</v>
      </c>
      <c r="D33" s="24">
        <f>SUM(D30:D32)</f>
        <v>44195</v>
      </c>
      <c r="E33" s="24">
        <f>SUM(E30:E32)</f>
        <v>530340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5"/>
      <c r="B36" s="25" t="s">
        <v>91</v>
      </c>
      <c r="C36" s="25" t="s">
        <v>92</v>
      </c>
      <c r="D36" s="25"/>
      <c r="E36" s="25"/>
      <c r="F36" s="25" t="s">
        <v>93</v>
      </c>
    </row>
    <row r="37" spans="1:6" x14ac:dyDescent="0.25">
      <c r="A37" t="s">
        <v>94</v>
      </c>
      <c r="B37" s="8">
        <v>530447.19314938155</v>
      </c>
      <c r="C37" s="8">
        <f>E33</f>
        <v>530340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2" t="s">
        <v>97</v>
      </c>
      <c r="B39" s="8">
        <f>B37+B38</f>
        <v>530447.19314938155</v>
      </c>
      <c r="C39" s="8">
        <f>C37+C38</f>
        <v>530340</v>
      </c>
    </row>
    <row r="40" spans="1:6" x14ac:dyDescent="0.25">
      <c r="A40" t="s">
        <v>98</v>
      </c>
      <c r="B40" s="8">
        <f>-B37*0.03</f>
        <v>-15913.415794481445</v>
      </c>
      <c r="C40" s="8">
        <f>-C37*Assumptions!$B$3</f>
        <v>-15910.199999999999</v>
      </c>
      <c r="F40" s="2" t="s">
        <v>99</v>
      </c>
    </row>
    <row r="41" spans="1:6" x14ac:dyDescent="0.25">
      <c r="A41" s="22" t="s">
        <v>100</v>
      </c>
      <c r="B41" s="24">
        <f>B39+B40</f>
        <v>514533.77735490008</v>
      </c>
      <c r="C41" s="24">
        <f>C39+C40</f>
        <v>514429.8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5" t="s">
        <v>102</v>
      </c>
      <c r="B44" s="25" t="s">
        <v>91</v>
      </c>
      <c r="C44" s="25" t="s">
        <v>103</v>
      </c>
      <c r="D44" s="25" t="s">
        <v>92</v>
      </c>
      <c r="E44" s="25" t="s">
        <v>104</v>
      </c>
      <c r="F44" s="25" t="s">
        <v>93</v>
      </c>
    </row>
    <row r="45" spans="1:6" x14ac:dyDescent="0.25">
      <c r="A45" t="s">
        <v>105</v>
      </c>
      <c r="B45" s="8"/>
      <c r="C45" s="8">
        <f>B22*Assumptions!$B$15</f>
        <v>69687.5</v>
      </c>
      <c r="D45" s="26">
        <f>C45</f>
        <v>69687.5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24916</v>
      </c>
      <c r="D46" s="26">
        <f t="shared" ref="D46:D52" si="1">IF(ISNUMBER(B46),MAX(B46,C46),C46)</f>
        <v>24916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25721.49</v>
      </c>
      <c r="D47" s="26">
        <f t="shared" si="1"/>
        <v>25721.49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34800</v>
      </c>
      <c r="D48" s="26">
        <f t="shared" si="1"/>
        <v>34800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43500</v>
      </c>
      <c r="D49" s="26">
        <f t="shared" si="1"/>
        <v>43500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11600</v>
      </c>
      <c r="D50" s="26">
        <f t="shared" si="1"/>
        <v>11600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7250</v>
      </c>
      <c r="D51" s="26">
        <f t="shared" si="1"/>
        <v>7250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8700</v>
      </c>
      <c r="D52" s="26">
        <f t="shared" si="1"/>
        <v>8700</v>
      </c>
      <c r="E52" s="8" t="str">
        <f t="shared" si="0"/>
        <v/>
      </c>
      <c r="F52" s="2" t="s">
        <v>116</v>
      </c>
    </row>
    <row r="53" spans="1:6" x14ac:dyDescent="0.25">
      <c r="A53" s="22" t="s">
        <v>120</v>
      </c>
      <c r="B53" s="24">
        <f>B41-B22*B25</f>
        <v>184493.77735490008</v>
      </c>
      <c r="C53" s="24">
        <f>SUM(C45:C52)</f>
        <v>226174.99</v>
      </c>
      <c r="D53" s="24">
        <f>SUM(D45:D52)</f>
        <v>226174.99</v>
      </c>
      <c r="E53" s="24">
        <f t="shared" si="0"/>
        <v>41681.212645099906</v>
      </c>
      <c r="F53" s="2" t="s">
        <v>121</v>
      </c>
    </row>
    <row r="54" spans="1:6" x14ac:dyDescent="0.25">
      <c r="A54" t="s">
        <v>122</v>
      </c>
      <c r="B54" s="8">
        <f>IFERROR(B53/B7,"")</f>
        <v>6361.8543915482787</v>
      </c>
      <c r="C54" s="8">
        <f>IFERROR(C53/B7,"")</f>
        <v>7799.1375862068962</v>
      </c>
      <c r="D54" s="8">
        <f>IFERROR(D53/B7,"")</f>
        <v>7799.1375862068962</v>
      </c>
    </row>
    <row r="55" spans="1:6" x14ac:dyDescent="0.25">
      <c r="A55" t="s">
        <v>123</v>
      </c>
      <c r="B55" s="18">
        <f>IFERROR(B53/B41,"")</f>
        <v>0.35856494845360826</v>
      </c>
      <c r="C55" s="18">
        <f>IFERROR(C53/C41,"")</f>
        <v>0.4396615242740603</v>
      </c>
      <c r="D55" s="18">
        <f>IF(C37&gt;0,IFERROR(D53/C41,""),"")</f>
        <v>0.4396615242740603</v>
      </c>
    </row>
    <row r="56" spans="1:6" x14ac:dyDescent="0.25">
      <c r="A56" s="22" t="s">
        <v>124</v>
      </c>
      <c r="B56" s="12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5"/>
      <c r="B59" s="25" t="s">
        <v>91</v>
      </c>
      <c r="C59" s="25" t="s">
        <v>92</v>
      </c>
      <c r="D59" s="25"/>
      <c r="E59" s="25"/>
      <c r="F59" s="25" t="s">
        <v>93</v>
      </c>
    </row>
    <row r="60" spans="1:6" x14ac:dyDescent="0.25">
      <c r="A60" s="22" t="s">
        <v>126</v>
      </c>
      <c r="B60" s="24">
        <f>B41-B53</f>
        <v>330040</v>
      </c>
      <c r="C60" s="24">
        <f>IF(C37&gt;0,C41-D53,"")</f>
        <v>288254.81</v>
      </c>
    </row>
    <row r="61" spans="1:6" x14ac:dyDescent="0.25">
      <c r="A61" s="22" t="s">
        <v>127</v>
      </c>
      <c r="B61" s="18">
        <f>IFERROR(B60/B22,"")</f>
        <v>5.9200000000000003E-2</v>
      </c>
      <c r="C61" s="18">
        <f>IF(C60="","",IFERROR(C60/B22,""))</f>
        <v>5.1704898654708523E-2</v>
      </c>
      <c r="F61" s="2" t="s">
        <v>128</v>
      </c>
    </row>
    <row r="62" spans="1:6" x14ac:dyDescent="0.25">
      <c r="A62" t="s">
        <v>129</v>
      </c>
      <c r="B62" s="19">
        <f>IFERROR(B22/B37,"")</f>
        <v>10.51</v>
      </c>
      <c r="C62" s="19">
        <f>IF(C37&gt;0,IFERROR(B22/C37,""),"")</f>
        <v>10.512124297620394</v>
      </c>
    </row>
    <row r="63" spans="1:6" x14ac:dyDescent="0.25">
      <c r="A63" t="s">
        <v>130</v>
      </c>
      <c r="B63" s="8">
        <f>IFERROR(B60/B7,"")</f>
        <v>11380.689655172413</v>
      </c>
      <c r="C63" s="8">
        <f>IF(C60="","",IFERROR(C60/B7,""))</f>
        <v>9939.8210344827585</v>
      </c>
    </row>
    <row r="65" spans="1:6" x14ac:dyDescent="0.25">
      <c r="A65" s="13" t="s">
        <v>131</v>
      </c>
      <c r="B65" s="14"/>
      <c r="C65" s="14"/>
      <c r="D65" s="14"/>
      <c r="E65" s="14"/>
      <c r="F65" s="14"/>
    </row>
    <row r="66" spans="1:6" x14ac:dyDescent="0.25">
      <c r="A66" t="s">
        <v>132</v>
      </c>
      <c r="B66" s="8">
        <f>IFERROR(B22*Assumptions!$B$20,"")</f>
        <v>3345000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3121073.655247129</v>
      </c>
    </row>
    <row r="68" spans="1:6" x14ac:dyDescent="0.25">
      <c r="A68" s="22" t="s">
        <v>134</v>
      </c>
      <c r="B68" s="8">
        <f>IFERROR(MIN(B66,B67),"")</f>
        <v>3121073.655247129</v>
      </c>
    </row>
    <row r="69" spans="1:6" x14ac:dyDescent="0.25">
      <c r="A69" t="s">
        <v>135</v>
      </c>
      <c r="B69" s="8">
        <f>IFERROR(B22-B68,"")</f>
        <v>2453926.344752871</v>
      </c>
    </row>
    <row r="70" spans="1:6" x14ac:dyDescent="0.25">
      <c r="A70" t="s">
        <v>136</v>
      </c>
      <c r="B70" s="8">
        <f>IFERROR(-PMT(Assumptions!$B$22/12,Assumptions!$B$23*12,B68)*12,"")</f>
        <v>230603.84799999927</v>
      </c>
    </row>
    <row r="71" spans="1:6" x14ac:dyDescent="0.25">
      <c r="A71" t="s">
        <v>137</v>
      </c>
      <c r="B71" s="19">
        <f>IFERROR(C60/B70,"")</f>
        <v>1.250000000000004</v>
      </c>
    </row>
    <row r="72" spans="1:6" x14ac:dyDescent="0.25">
      <c r="A72" t="s">
        <v>138</v>
      </c>
      <c r="B72" s="8">
        <f>IFERROR(C60-B70,"")</f>
        <v>57650.962000000727</v>
      </c>
    </row>
    <row r="73" spans="1:6" x14ac:dyDescent="0.25">
      <c r="A73" t="s">
        <v>139</v>
      </c>
      <c r="B73" s="18">
        <f>IFERROR(B72/B69,"")</f>
        <v>2.3493354689831415E-2</v>
      </c>
    </row>
    <row r="75" spans="1:6" x14ac:dyDescent="0.25">
      <c r="A75" s="2" t="s">
        <v>140</v>
      </c>
    </row>
  </sheetData>
  <hyperlinks>
    <hyperlink ref="A3" r:id="rId1" xr:uid="{B2F52CA5-8EB4-4332-92D7-0F9681F4F927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06 2619 S Sepulveda Blvd</vt:lpstr>
      <vt:lpstr>'06 2619 S Sepulveda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2026-09-17T19:24:56Z</dcterms:created>
  <dcterms:modified xsi:type="dcterms:W3CDTF">2026-09-17T19:24:58Z</dcterms:modified>
</cp:coreProperties>
</file>