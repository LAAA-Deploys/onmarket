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FFD08B3-B533-49CA-888B-24119110006A}" xr6:coauthVersionLast="47" xr6:coauthVersionMax="47" xr10:uidLastSave="{00000000-0000-0000-0000-000000000000}"/>
  <bookViews>
    <workbookView xWindow="-120" yWindow="-120" windowWidth="29040" windowHeight="15720" activeTab="1" xr2:uid="{A8623805-F1EB-422F-BECF-5807E4C4B7D3}"/>
  </bookViews>
  <sheets>
    <sheet name="Assumptions" sheetId="1" r:id="rId1"/>
    <sheet name="29 1307 15th St" sheetId="2" r:id="rId2"/>
  </sheets>
  <definedNames>
    <definedName name="_xlnm.Print_Area" localSheetId="1">'29 1307 15th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C62" i="2" l="1"/>
  <c r="C40" i="2"/>
  <c r="C39" i="2"/>
  <c r="C41" i="2" s="1"/>
  <c r="C47" i="2" s="1"/>
  <c r="B61" i="2"/>
  <c r="B63" i="2"/>
  <c r="B55" i="2"/>
  <c r="B54" i="2"/>
  <c r="D47" i="2" l="1"/>
  <c r="D53" i="2" s="1"/>
  <c r="C53" i="2"/>
  <c r="C60" i="2"/>
  <c r="C55" i="2" l="1"/>
  <c r="C54" i="2"/>
  <c r="C61" i="2"/>
  <c r="B67" i="2"/>
  <c r="B68" i="2" s="1"/>
  <c r="C63" i="2"/>
  <c r="D54" i="2"/>
  <c r="D55" i="2"/>
  <c r="E53" i="2"/>
  <c r="B56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<sst xmlns="http://schemas.openxmlformats.org/spreadsheetml/2006/main" count="150" uniqueCount="140">
  <si>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</si>
  <si>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</si>
  <si>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</si>
  <si>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</si>
  <si>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</si>
  <si>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</si>
  <si>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</si>
  <si>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</si>
  <si>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</si>
  <si>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</si>
  <si>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</si>
  <si>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</si>
  <si>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</si>
  <si>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</si>
  <si>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</si>
  <si>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</si>
  <si>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</si>
  <si>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</si>
  <si>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</si>
  <si>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</si>
  <si>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</si>
  <si>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</si>
  <si>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</si>
  <si>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</si>
  <si>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</si>
  <si>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</si>
  <si>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</si>
  <si>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</si>
  <si>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</si>
  <si>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</si>
  <si>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</si>
  <si>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</si>
  <si>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</si>
  <si>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</si>
  <si>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</si>
  <si>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</si>
  <si>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</si>
  <si>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</si>
  <si>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</si>
  <si>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</si>
  <si>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</si>
  <si>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</si>
  <si>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</si>
  <si>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</si>
  <si>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</si>
  <si>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</si>
  <si>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</si>
  <si>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1307 15th St</t>
  </si>
  <si>
    <t>Santa Monica, CA 90404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</si>
  <si>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</si>
  <si>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</si>
  <si>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</si>
  <si>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</si>
  <si>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</si>
  <si>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</si>
  <si>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</si>
  <si>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</si>
  <si>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</si>
  <si>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</si>
  <si>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</si>
  <si>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CP, Santa Monica - CP (Commercial Pedestrian) zoning supports pedestrian-oriented retail, restaurant, office, and service uses within a walkable commercial district.</t>
  </si>
  <si>
    <t>Occupancy per listing</t>
  </si>
  <si>
    <t>91%</t>
  </si>
  <si>
    <t>APN</t>
  </si>
  <si>
    <t>4282-017-034</t>
  </si>
  <si>
    <t>Assessed value (current)</t>
  </si>
  <si>
    <t>Listing broker(s)</t>
  </si>
  <si>
    <t>William Dawson</t>
  </si>
  <si>
    <t>Date on market</t>
  </si>
  <si>
    <t>6/3/2025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</si>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</sst>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F4BC8DB-251B-473A-BA2E-6E7EEB32CC9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857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307-15th-St-Santa-Monica-CA/360970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92AD-CC10-4171-BB03-B57B7D21393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4EBE-96CA-4252-82C5-454B0BC1A0DE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11</v>
      </c>
    </row>
    <row r="8" spans="1:3" x14ac:dyDescent="0.25">
      <c r="A8" t="s">
        <v>53</v>
      </c>
      <c r="B8" s="14">
        <v>8398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1958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2574851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3850000</v>
      </c>
    </row>
    <row r="23" spans="1:6" x14ac:dyDescent="0.25">
      <c r="A23" t="s">
        <v>74</v>
      </c>
      <c r="B23" s="8">
        <f>IFERROR(B22/B7,"")</f>
        <v>350000</v>
      </c>
    </row>
    <row r="24" spans="1:6" x14ac:dyDescent="0.25">
      <c r="A24" t="s">
        <v>75</v>
      </c>
      <c r="B24" s="16">
        <f>IFERROR(B22/B8,"")</f>
        <v>458.44248630626339</v>
      </c>
    </row>
    <row r="25" spans="1:6" x14ac:dyDescent="0.25">
      <c r="A25" t="s">
        <v>76</v>
      </c>
      <c r="B25" s="17">
        <v>4.3400000000000001E-2</v>
      </c>
    </row>
    <row r="26" spans="1:6" x14ac:dyDescent="0.25">
      <c r="A26" t="s">
        <v>77</v>
      </c>
      <c r="B26" s="18">
        <v>14.29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34</v>
      </c>
      <c r="B30" s="14">
        <v>2</v>
      </c>
      <c r="C30" s="20">
        <v>1373</v>
      </c>
      <c r="D30" s="8">
        <f>B30*C30</f>
        <v>2746</v>
      </c>
      <c r="E30" s="8">
        <f>D30*12</f>
        <v>32952</v>
      </c>
      <c r="F30" s="2" t="s">
        <v>85</v>
      </c>
    </row>
    <row r="31" spans="1:6" x14ac:dyDescent="0.25">
      <c r="A31" t="s">
        <v>86</v>
      </c>
      <c r="B31" s="14">
        <v>6</v>
      </c>
      <c r="C31" s="20">
        <v>1961</v>
      </c>
      <c r="D31" s="8">
        <f>B31*C31</f>
        <v>11766</v>
      </c>
      <c r="E31" s="8">
        <f>D31*12</f>
        <v>141192</v>
      </c>
      <c r="F31" s="2" t="s">
        <v>85</v>
      </c>
    </row>
    <row r="32" spans="1:6" x14ac:dyDescent="0.25">
      <c r="A32" t="s">
        <v>87</v>
      </c>
      <c r="B32" s="14">
        <v>3</v>
      </c>
      <c r="C32" s="20">
        <v>2647</v>
      </c>
      <c r="D32" s="8">
        <f>B32*C32</f>
        <v>7941</v>
      </c>
      <c r="E32" s="8">
        <f>D32*12</f>
        <v>95292</v>
      </c>
      <c r="F32" s="2" t="s">
        <v>85</v>
      </c>
    </row>
    <row r="33" spans="1:6" x14ac:dyDescent="0.25">
      <c r="A33" s="21" t="s">
        <v>88</v>
      </c>
      <c r="B33" s="22">
        <f>SUM(B30:B32)</f>
        <v>11</v>
      </c>
      <c r="C33" s="23">
        <f>IFERROR(D33/B33,"")</f>
        <v>2041.1818181818182</v>
      </c>
      <c r="D33" s="23">
        <f>SUM(D30:D32)</f>
        <v>22453</v>
      </c>
      <c r="E33" s="23">
        <f>SUM(E30:E32)</f>
        <v>269436</v>
      </c>
    </row>
    <row r="35" spans="1:6" x14ac:dyDescent="0.25">
      <c r="A35" s="12" t="s">
        <v>89</v>
      </c>
      <c r="B35" s="13"/>
      <c r="C35" s="13"/>
      <c r="D35" s="13"/>
      <c r="E35" s="13"/>
      <c r="F35" s="13"/>
    </row>
    <row r="36" spans="1:6" x14ac:dyDescent="0.25">
      <c r="A36" s="24"/>
      <c r="B36" s="24" t="s">
        <v>90</v>
      </c>
      <c r="C36" s="24" t="s">
        <v>91</v>
      </c>
      <c r="D36" s="24"/>
      <c r="E36" s="24"/>
      <c r="F36" s="24" t="s">
        <v>92</v>
      </c>
    </row>
    <row r="37" spans="1:6" x14ac:dyDescent="0.25">
      <c r="A37" t="s">
        <v>93</v>
      </c>
      <c r="B37" s="8">
        <v>269419.17424772569</v>
      </c>
      <c r="C37" s="8">
        <f>E33</f>
        <v>269436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1" t="s">
        <v>96</v>
      </c>
      <c r="B39" s="8">
        <f>B37+B38</f>
        <v>269419.17424772569</v>
      </c>
      <c r="C39" s="8">
        <f>C37+C38</f>
        <v>269436</v>
      </c>
    </row>
    <row r="40" spans="1:6" x14ac:dyDescent="0.25">
      <c r="A40" t="s">
        <v>97</v>
      </c>
      <c r="B40" s="8">
        <f>-B37*0.03</f>
        <v>-8082.5752274317701</v>
      </c>
      <c r="C40" s="8">
        <f>-C37*Assumptions!$B$3</f>
        <v>-8083.08</v>
      </c>
      <c r="F40" s="2" t="s">
        <v>98</v>
      </c>
    </row>
    <row r="41" spans="1:6" x14ac:dyDescent="0.25">
      <c r="A41" s="21" t="s">
        <v>99</v>
      </c>
      <c r="B41" s="23">
        <f>B39+B40</f>
        <v>261336.59902029391</v>
      </c>
      <c r="C41" s="23">
        <f>C39+C40</f>
        <v>261352.92</v>
      </c>
    </row>
    <row r="43" spans="1:6" x14ac:dyDescent="0.25">
      <c r="A43" s="12" t="s">
        <v>100</v>
      </c>
      <c r="B43" s="13"/>
      <c r="C43" s="13"/>
      <c r="D43" s="13"/>
      <c r="E43" s="13"/>
      <c r="F43" s="13"/>
    </row>
    <row r="44" spans="1:6" x14ac:dyDescent="0.25">
      <c r="A44" s="24" t="s">
        <v>101</v>
      </c>
      <c r="B44" s="24" t="s">
        <v>90</v>
      </c>
      <c r="C44" s="24" t="s">
        <v>102</v>
      </c>
      <c r="D44" s="24" t="s">
        <v>91</v>
      </c>
      <c r="E44" s="24" t="s">
        <v>103</v>
      </c>
      <c r="F44" s="24" t="s">
        <v>92</v>
      </c>
    </row>
    <row r="45" spans="1:6" x14ac:dyDescent="0.25">
      <c r="A45" t="s">
        <v>104</v>
      </c>
      <c r="B45" s="8"/>
      <c r="C45" s="8">
        <f>B22*Assumptions!$B$16</f>
        <v>44275</v>
      </c>
      <c r="D45" s="25">
        <f>C45</f>
        <v>44275</v>
      </c>
      <c r="E45" s="8" t="str">
        <f t="shared" ref="E45:E53" si="0">IF(ISNUMBER(B45),D45-B45,"")</f>
        <v/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10598</v>
      </c>
      <c r="D46" s="25">
        <f t="shared" ref="D46:D52" si="1">IF(ISNUMBER(B46),MAX(B46,C46),C46)</f>
        <v>10598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13067.646000000001</v>
      </c>
      <c r="D47" s="25">
        <f t="shared" si="1"/>
        <v>13067.646000000001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13200</v>
      </c>
      <c r="D48" s="25">
        <f t="shared" si="1"/>
        <v>13200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19800</v>
      </c>
      <c r="D49" s="25">
        <f t="shared" si="1"/>
        <v>19800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4400</v>
      </c>
      <c r="D50" s="25">
        <f t="shared" si="1"/>
        <v>4400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2750</v>
      </c>
      <c r="D51" s="25">
        <f t="shared" si="1"/>
        <v>2750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3300</v>
      </c>
      <c r="D52" s="25">
        <f t="shared" si="1"/>
        <v>3300</v>
      </c>
      <c r="E52" s="8" t="str">
        <f t="shared" si="0"/>
        <v/>
      </c>
      <c r="F52" s="2" t="s">
        <v>115</v>
      </c>
    </row>
    <row r="53" spans="1:6" x14ac:dyDescent="0.25">
      <c r="A53" s="21" t="s">
        <v>119</v>
      </c>
      <c r="B53" s="23">
        <f>B41-B22*B25</f>
        <v>94246.599020293914</v>
      </c>
      <c r="C53" s="23">
        <f>SUM(C45:C52)</f>
        <v>111390.64600000001</v>
      </c>
      <c r="D53" s="23">
        <f>SUM(D45:D52)</f>
        <v>111390.64600000001</v>
      </c>
      <c r="E53" s="23">
        <f t="shared" si="0"/>
        <v>17144.046979706094</v>
      </c>
      <c r="F53" s="2" t="s">
        <v>120</v>
      </c>
    </row>
    <row r="54" spans="1:6" x14ac:dyDescent="0.25">
      <c r="A54" t="s">
        <v>121</v>
      </c>
      <c r="B54" s="8">
        <f>IFERROR(B53/B7,"")</f>
        <v>8567.872638208537</v>
      </c>
      <c r="C54" s="8">
        <f>IFERROR(C53/B7,"")</f>
        <v>10126.422363636364</v>
      </c>
      <c r="D54" s="8">
        <f>IFERROR(D53/B7,"")</f>
        <v>10126.422363636364</v>
      </c>
    </row>
    <row r="55" spans="1:6" x14ac:dyDescent="0.25">
      <c r="A55" t="s">
        <v>122</v>
      </c>
      <c r="B55" s="17">
        <f>IFERROR(B53/B41,"")</f>
        <v>0.36063298969072166</v>
      </c>
      <c r="C55" s="17">
        <f>IFERROR(C53/C41,"")</f>
        <v>0.42620777299905432</v>
      </c>
      <c r="D55" s="17">
        <f>IF(C37&gt;0,IFERROR(D53/C41,""),"")</f>
        <v>0.42620777299905432</v>
      </c>
    </row>
    <row r="56" spans="1:6" x14ac:dyDescent="0.25">
      <c r="A56" s="21" t="s">
        <v>123</v>
      </c>
      <c r="B56" s="26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2" t="s">
        <v>124</v>
      </c>
      <c r="B58" s="13"/>
      <c r="C58" s="13"/>
      <c r="D58" s="13"/>
      <c r="E58" s="13"/>
      <c r="F58" s="13"/>
    </row>
    <row r="59" spans="1:6" x14ac:dyDescent="0.25">
      <c r="A59" s="24"/>
      <c r="B59" s="24" t="s">
        <v>90</v>
      </c>
      <c r="C59" s="24" t="s">
        <v>91</v>
      </c>
      <c r="D59" s="24"/>
      <c r="E59" s="24"/>
      <c r="F59" s="24" t="s">
        <v>92</v>
      </c>
    </row>
    <row r="60" spans="1:6" x14ac:dyDescent="0.25">
      <c r="A60" s="21" t="s">
        <v>125</v>
      </c>
      <c r="B60" s="23">
        <f>B41-B53</f>
        <v>167090</v>
      </c>
      <c r="C60" s="23">
        <f>IF(C37&gt;0,C41-D53,"")</f>
        <v>149962.274</v>
      </c>
    </row>
    <row r="61" spans="1:6" x14ac:dyDescent="0.25">
      <c r="A61" s="21" t="s">
        <v>126</v>
      </c>
      <c r="B61" s="17">
        <f>IFERROR(B60/B22,"")</f>
        <v>4.3400000000000001E-2</v>
      </c>
      <c r="C61" s="17">
        <f>IF(C60="","",IFERROR(C60/B22,""))</f>
        <v>3.8951239999999998E-2</v>
      </c>
      <c r="F61" s="2" t="s">
        <v>127</v>
      </c>
    </row>
    <row r="62" spans="1:6" x14ac:dyDescent="0.25">
      <c r="A62" t="s">
        <v>128</v>
      </c>
      <c r="B62" s="18">
        <f>IFERROR(B22/B37,"")</f>
        <v>14.29</v>
      </c>
      <c r="C62" s="18">
        <f>IF(C37&gt;0,IFERROR(B22/C37,""),"")</f>
        <v>14.28910761739337</v>
      </c>
    </row>
    <row r="63" spans="1:6" x14ac:dyDescent="0.25">
      <c r="A63" t="s">
        <v>129</v>
      </c>
      <c r="B63" s="8">
        <f>IFERROR(B60/B7,"")</f>
        <v>15190</v>
      </c>
      <c r="C63" s="8">
        <f>IF(C60="","",IFERROR(C60/B7,""))</f>
        <v>13632.934000000001</v>
      </c>
    </row>
    <row r="65" spans="1:6" x14ac:dyDescent="0.25">
      <c r="A65" s="12" t="s">
        <v>130</v>
      </c>
      <c r="B65" s="13"/>
      <c r="C65" s="13"/>
      <c r="D65" s="13"/>
      <c r="E65" s="13"/>
      <c r="F65" s="13"/>
    </row>
    <row r="66" spans="1:6" x14ac:dyDescent="0.25">
      <c r="A66" t="s">
        <v>131</v>
      </c>
      <c r="B66" s="8">
        <f>IFERROR(B22*Assumptions!$B$20,"")</f>
        <v>2310000</v>
      </c>
    </row>
    <row r="67" spans="1:6" x14ac:dyDescent="0.25">
      <c r="A67" t="s">
        <v>132</v>
      </c>
      <c r="B67" s="8">
        <f>IF(C60="","",IFERROR(PV(Assumptions!$B$22/12,Assumptions!$B$23*12,-C60/Assumptions!$B$21/12),""))</f>
        <v>1623713.7644376222</v>
      </c>
    </row>
    <row r="68" spans="1:6" x14ac:dyDescent="0.25">
      <c r="A68" s="21" t="s">
        <v>133</v>
      </c>
      <c r="B68" s="8">
        <f>IFERROR(MIN(B66,B67),"")</f>
        <v>1623713.7644376222</v>
      </c>
    </row>
    <row r="69" spans="1:6" x14ac:dyDescent="0.25">
      <c r="A69" t="s">
        <v>134</v>
      </c>
      <c r="B69" s="8">
        <f>IFERROR(B22-B68,"")</f>
        <v>2226286.2355623776</v>
      </c>
    </row>
    <row r="70" spans="1:6" x14ac:dyDescent="0.25">
      <c r="A70" t="s">
        <v>135</v>
      </c>
      <c r="B70" s="8">
        <f>IFERROR(-PMT(Assumptions!$B$22/12,Assumptions!$B$23*12,B68)*12,"")</f>
        <v>119969.81919999961</v>
      </c>
    </row>
    <row r="71" spans="1:6" x14ac:dyDescent="0.25">
      <c r="A71" t="s">
        <v>136</v>
      </c>
      <c r="B71" s="18">
        <f>IFERROR(C60/B70,"")</f>
        <v>1.2500000000000042</v>
      </c>
    </row>
    <row r="72" spans="1:6" x14ac:dyDescent="0.25">
      <c r="A72" t="s">
        <v>137</v>
      </c>
      <c r="B72" s="8">
        <f>IFERROR(C60-B70,"")</f>
        <v>29992.4548000004</v>
      </c>
    </row>
    <row r="73" spans="1:6" x14ac:dyDescent="0.25">
      <c r="A73" t="s">
        <v>138</v>
      </c>
      <c r="B73" s="17">
        <f>IFERROR(B72/B69,"")</f>
        <v>1.3471967045793672E-2</v>
      </c>
    </row>
    <row r="75" spans="1:6" x14ac:dyDescent="0.25">
      <c r="A75" s="2" t="s">
        <v>139</v>
      </c>
    </row>
  </sheetData>
  <hyperlinks>
    <hyperlink ref="A3" r:id="rId1" xr:uid="{55208F98-94CE-466D-8A05-AD32AED5B00D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29 1307 15th St</vt:lpstr>
      <vt:lpstr>'29 1307 15th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2026-09-17T19:26:48Z</dcterms:created>
  <dcterms:modified xsi:type="dcterms:W3CDTF">2026-09-17T19:26:51Z</dcterms:modified>
</cp:coreProperties>
</file>