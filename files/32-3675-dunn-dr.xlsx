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4204F26-D7FA-407A-80EF-CC10B649ED1A}" xr6:coauthVersionLast="47" xr6:coauthVersionMax="47" xr10:uidLastSave="{00000000-0000-0000-0000-000000000000}"/>
  <bookViews>
    <workbookView xWindow="-120" yWindow="-120" windowWidth="29040" windowHeight="15720" activeTab="1" xr2:uid="{698F8F03-D038-4AA8-AE73-EC65AEB7FBBF}"/>
  </bookViews>
  <sheets>
    <sheet name="Assumptions" sheetId="1" r:id="rId1"/>
    <sheet name="32 3675 Dunn Dr" sheetId="2" r:id="rId2"/>
  </sheets>
  <definedNames>
    <definedName name="_xlnm.Print_Area" localSheetId="1">'32 3675 Dunn Dr'!$A$1:$N$80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E31" i="2"/>
  <c r="D31" i="2"/>
  <c r="D30" i="2"/>
  <c r="E30" i="2" s="1"/>
  <c r="E32" i="2" s="1"/>
  <c r="C36" i="2" s="1"/>
  <c r="B24" i="2"/>
  <c r="B23" i="2"/>
  <c r="B52" i="2" l="1"/>
  <c r="B59" i="2"/>
  <c r="C39" i="2"/>
  <c r="C38" i="2"/>
  <c r="C40" i="2" s="1"/>
  <c r="C46" i="2" s="1"/>
  <c r="D46" i="2" s="1"/>
  <c r="C61" i="2"/>
  <c r="D44" i="2"/>
  <c r="D52" i="2" s="1"/>
  <c r="D53" i="2" s="1"/>
  <c r="D54" i="2" l="1"/>
  <c r="C59" i="2"/>
  <c r="B60" i="2"/>
  <c r="B62" i="2"/>
  <c r="C52" i="2"/>
  <c r="B53" i="2"/>
  <c r="B55" i="2"/>
  <c r="E52" i="2"/>
  <c r="B54" i="2"/>
  <c r="C53" i="2" l="1"/>
  <c r="C54" i="2"/>
  <c r="C60" i="2"/>
  <c r="B66" i="2"/>
  <c r="B67" i="2" s="1"/>
  <c r="C62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<sst xmlns="http://schemas.openxmlformats.org/spreadsheetml/2006/main" count="149" uniqueCount="141">
  <si>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</si>
  <si>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</si>
  <si>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</si>
  <si>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</si>
  <si>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</si>
  <si>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</si>
  <si>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</si>
  <si>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</si>
  <si>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</si>
  <si>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</si>
  <si>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</si>
  <si>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</si>
  <si>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</si>
  <si>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</si>
  <si>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</si>
  <si>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</si>
  <si>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</si>
  <si>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</si>
  <si>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</si>
  <si>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</si>
  <si>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</si>
  <si>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</si>
  <si>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</si>
  <si>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</si>
  <si>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</si>
  <si>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</si>
  <si>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</si>
  <si>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</si>
  <si>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</si>
  <si>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</si>
  <si>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</si>
  <si>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</si>
  <si>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</si>
  <si>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</si>
  <si>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</si>
  <si>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</si>
  <si>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</si>
  <si>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</si>
  <si>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</si>
  <si>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</si>
  <si>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</si>
  <si>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</si>
  <si>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</si>
  <si>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</si>
  <si>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</si>
  <si>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</si>
  <si>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</si>
  <si>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3675 Dunn Dr</t>
  </si>
  <si>
    <t>Los Angeles, CA 90034  |  Palms</t>
  </si>
  <si>
    <t>LoopNet listing</t>
  </si>
  <si>
    <t>Data pulled 9/17/2026 from LoopNet public listing</t>
  </si>
  <si>
    <t>NOTE: 2019 construction</t>
  </si>
  <si>
    <t>PROPERTY</t>
  </si>
  <si>
    <t>Units</t>
  </si>
  <si>
    <t>Gross building SF</t>
  </si>
  <si>
    <t>Lot SF</t>
  </si>
  <si>
    <t>Lot acres</t>
  </si>
  <si>
    <t>Year built</t>
  </si>
  <si>
    <t>Stories</t>
  </si>
  <si>
    <t>4</t>
  </si>
  <si>
    <t>Zoning</t>
  </si>
  <si>
    <t>R3-1</t>
  </si>
  <si>
    <t>Occupancy per listing</t>
  </si>
  <si>
    <t>100%</t>
  </si>
  <si>
    <t>APN</t>
  </si>
  <si>
    <t>4313-007-055</t>
  </si>
  <si>
    <t>Assessed value (current)</t>
  </si>
  <si>
    <t>Listing broker(s)</t>
  </si>
  <si>
    <t>Alex Galuz</t>
  </si>
  <si>
    <t>Date on market</t>
  </si>
  <si>
    <t>8/3/2026</t>
  </si>
  <si>
    <t>Listing last updated</t>
  </si>
  <si>
    <t>8/28/2026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</si>
  <si>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</si>
  <si>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</si>
  <si>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</si>
  <si>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</si>
  <si>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</si>
  <si>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</si>
  <si>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</si>
  <si>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</si>
  <si>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</si>
  <si>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</si>
  <si>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</si>
  <si>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</si>
  <si>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</si>
  <si>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  (~1008 SF)</t>
  </si>
  <si>
    <t>LoopNet published avg rent by unit type</t>
  </si>
  <si>
    <t>3 Bd / 3 Ba  (~1350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</si>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</sst>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39A2787-994C-4EA6-B463-1462D3DE11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675-Dunn-Dr-Los-Angeles-CA/4153475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69C1-36F5-4539-BCF5-1F8E2440C9A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B6A5-8B2A-4340-9022-6D29E9D5CC01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25000</v>
      </c>
    </row>
    <row r="9" spans="1:3" x14ac:dyDescent="0.25">
      <c r="A9" t="s">
        <v>55</v>
      </c>
      <c r="B9" s="15">
        <v>10454</v>
      </c>
    </row>
    <row r="10" spans="1:3" x14ac:dyDescent="0.25">
      <c r="A10" t="s">
        <v>56</v>
      </c>
      <c r="B10" s="16">
        <v>0.24</v>
      </c>
    </row>
    <row r="11" spans="1:3" x14ac:dyDescent="0.25">
      <c r="A11" t="s">
        <v>57</v>
      </c>
      <c r="B11">
        <v>2019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15918120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15950000</v>
      </c>
    </row>
    <row r="23" spans="1:6" x14ac:dyDescent="0.25">
      <c r="A23" t="s">
        <v>75</v>
      </c>
      <c r="B23" s="8">
        <f>IFERROR(B22/B7,"")</f>
        <v>886111.11111111112</v>
      </c>
    </row>
    <row r="24" spans="1:6" x14ac:dyDescent="0.25">
      <c r="A24" t="s">
        <v>76</v>
      </c>
      <c r="B24" s="17">
        <f>IFERROR(B22/B8,"")</f>
        <v>638</v>
      </c>
    </row>
    <row r="25" spans="1:6" x14ac:dyDescent="0.25">
      <c r="A25" t="s">
        <v>77</v>
      </c>
      <c r="B25" s="18">
        <v>4.5999999999999999E-2</v>
      </c>
    </row>
    <row r="26" spans="1:6" x14ac:dyDescent="0.25">
      <c r="A26" t="s">
        <v>78</v>
      </c>
      <c r="B26" s="19">
        <v>14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3</v>
      </c>
      <c r="C30" s="4">
        <v>4415</v>
      </c>
      <c r="D30" s="8">
        <f>B30*C30</f>
        <v>13245</v>
      </c>
      <c r="E30" s="8">
        <f>D30*12</f>
        <v>158940</v>
      </c>
      <c r="F30" s="2" t="s">
        <v>87</v>
      </c>
    </row>
    <row r="31" spans="1:6" x14ac:dyDescent="0.25">
      <c r="A31" t="s">
        <v>88</v>
      </c>
      <c r="B31" s="15">
        <v>15</v>
      </c>
      <c r="C31" s="4">
        <v>5248</v>
      </c>
      <c r="D31" s="8">
        <f>B31*C31</f>
        <v>78720</v>
      </c>
      <c r="E31" s="8">
        <f>D31*12</f>
        <v>944640</v>
      </c>
      <c r="F31" s="2" t="s">
        <v>87</v>
      </c>
    </row>
    <row r="32" spans="1:6" x14ac:dyDescent="0.25">
      <c r="A32" s="21" t="s">
        <v>89</v>
      </c>
      <c r="B32" s="22">
        <f>SUM(B30:B31)</f>
        <v>18</v>
      </c>
      <c r="C32" s="23">
        <f>IFERROR(D32/B32,"")</f>
        <v>5109.166666666667</v>
      </c>
      <c r="D32" s="23">
        <f>SUM(D30:D31)</f>
        <v>91965</v>
      </c>
      <c r="E32" s="23">
        <f>SUM(E30:E31)</f>
        <v>1103580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4"/>
      <c r="B35" s="24" t="s">
        <v>91</v>
      </c>
      <c r="C35" s="24" t="s">
        <v>92</v>
      </c>
      <c r="D35" s="24"/>
      <c r="E35" s="24"/>
      <c r="F35" s="24" t="s">
        <v>93</v>
      </c>
    </row>
    <row r="36" spans="1:6" x14ac:dyDescent="0.25">
      <c r="A36" t="s">
        <v>94</v>
      </c>
      <c r="B36" s="8">
        <v>1139285.7142857141</v>
      </c>
      <c r="C36" s="8">
        <f>E32</f>
        <v>1103580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1" t="s">
        <v>97</v>
      </c>
      <c r="B38" s="8">
        <f>B36+B37</f>
        <v>1139285.7142857141</v>
      </c>
      <c r="C38" s="8">
        <f>C36+C37</f>
        <v>1103580</v>
      </c>
    </row>
    <row r="39" spans="1:6" x14ac:dyDescent="0.25">
      <c r="A39" t="s">
        <v>98</v>
      </c>
      <c r="B39" s="8">
        <f>-B36*0.03</f>
        <v>-34178.57142857142</v>
      </c>
      <c r="C39" s="8">
        <f>-C36*Assumptions!$B$3</f>
        <v>-33107.4</v>
      </c>
      <c r="F39" s="2" t="s">
        <v>99</v>
      </c>
    </row>
    <row r="40" spans="1:6" x14ac:dyDescent="0.25">
      <c r="A40" s="21" t="s">
        <v>100</v>
      </c>
      <c r="B40" s="23">
        <f>B38+B39</f>
        <v>1105107.1428571427</v>
      </c>
      <c r="C40" s="23">
        <f>C38+C39</f>
        <v>1070472.6000000001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4" t="s">
        <v>102</v>
      </c>
      <c r="B43" s="24" t="s">
        <v>91</v>
      </c>
      <c r="C43" s="24" t="s">
        <v>103</v>
      </c>
      <c r="D43" s="24" t="s">
        <v>92</v>
      </c>
      <c r="E43" s="24" t="s">
        <v>104</v>
      </c>
      <c r="F43" s="24" t="s">
        <v>93</v>
      </c>
    </row>
    <row r="44" spans="1:6" x14ac:dyDescent="0.25">
      <c r="A44" t="s">
        <v>105</v>
      </c>
      <c r="B44" s="8"/>
      <c r="C44" s="8">
        <f>B22*Assumptions!$B$15</f>
        <v>199375</v>
      </c>
      <c r="D44" s="25">
        <f>C44</f>
        <v>199375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28600</v>
      </c>
      <c r="D45" s="25">
        <f t="shared" ref="D45:D51" si="1">IF(ISNUMBER(B45),MAX(B45,C45),C45)</f>
        <v>28600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53523.630000000005</v>
      </c>
      <c r="D46" s="25">
        <f t="shared" si="1"/>
        <v>53523.630000000005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B7*Assumptions!$B$8</f>
        <v>14400</v>
      </c>
      <c r="D47" s="25">
        <f t="shared" si="1"/>
        <v>14400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27000</v>
      </c>
      <c r="D48" s="25">
        <f t="shared" si="1"/>
        <v>27000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7200</v>
      </c>
      <c r="D49" s="25">
        <f t="shared" si="1"/>
        <v>7200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4500</v>
      </c>
      <c r="D50" s="25">
        <f t="shared" si="1"/>
        <v>4500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5400</v>
      </c>
      <c r="D51" s="25">
        <f t="shared" si="1"/>
        <v>5400</v>
      </c>
      <c r="E51" s="8" t="str">
        <f t="shared" si="0"/>
        <v/>
      </c>
      <c r="F51" s="2" t="s">
        <v>116</v>
      </c>
    </row>
    <row r="52" spans="1:6" x14ac:dyDescent="0.25">
      <c r="A52" s="21" t="s">
        <v>120</v>
      </c>
      <c r="B52" s="23">
        <f>B40-B22*B25</f>
        <v>371407.14285714272</v>
      </c>
      <c r="C52" s="23">
        <f>SUM(C44:C51)</f>
        <v>339998.63</v>
      </c>
      <c r="D52" s="23">
        <f>SUM(D44:D51)</f>
        <v>339998.63</v>
      </c>
      <c r="E52" s="23">
        <f t="shared" si="0"/>
        <v>-31408.512857142719</v>
      </c>
      <c r="F52" s="2" t="s">
        <v>121</v>
      </c>
    </row>
    <row r="53" spans="1:6" x14ac:dyDescent="0.25">
      <c r="A53" t="s">
        <v>122</v>
      </c>
      <c r="B53" s="8">
        <f>IFERROR(B52/B7,"")</f>
        <v>20633.730158730152</v>
      </c>
      <c r="C53" s="8">
        <f>IFERROR(C52/B7,"")</f>
        <v>18888.812777777777</v>
      </c>
      <c r="D53" s="8">
        <f>IFERROR(D52/B7,"")</f>
        <v>18888.812777777777</v>
      </c>
    </row>
    <row r="54" spans="1:6" x14ac:dyDescent="0.25">
      <c r="A54" t="s">
        <v>123</v>
      </c>
      <c r="B54" s="18">
        <f>IFERROR(B52/B40,"")</f>
        <v>0.33608247422680404</v>
      </c>
      <c r="C54" s="18">
        <f>IFERROR(C52/C40,"")</f>
        <v>0.31761544387030549</v>
      </c>
      <c r="D54" s="18">
        <f>IF(C36&gt;0,IFERROR(D52/C40,""),"")</f>
        <v>0.31761544387030549</v>
      </c>
    </row>
    <row r="55" spans="1:6" x14ac:dyDescent="0.25">
      <c r="A55" s="21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4"/>
      <c r="B58" s="24" t="s">
        <v>91</v>
      </c>
      <c r="C58" s="24" t="s">
        <v>92</v>
      </c>
      <c r="D58" s="24"/>
      <c r="E58" s="24"/>
      <c r="F58" s="24" t="s">
        <v>93</v>
      </c>
    </row>
    <row r="59" spans="1:6" x14ac:dyDescent="0.25">
      <c r="A59" s="21" t="s">
        <v>126</v>
      </c>
      <c r="B59" s="23">
        <f>B40-B52</f>
        <v>733700</v>
      </c>
      <c r="C59" s="23">
        <f>IF(C36&gt;0,C40-D52,"")</f>
        <v>730473.97000000009</v>
      </c>
    </row>
    <row r="60" spans="1:6" x14ac:dyDescent="0.25">
      <c r="A60" s="21" t="s">
        <v>127</v>
      </c>
      <c r="B60" s="18">
        <f>IFERROR(B59/B22,"")</f>
        <v>4.5999999999999999E-2</v>
      </c>
      <c r="C60" s="18">
        <f>IF(C59="","",IFERROR(C59/B22,""))</f>
        <v>4.5797741065830726E-2</v>
      </c>
      <c r="F60" s="2" t="s">
        <v>128</v>
      </c>
    </row>
    <row r="61" spans="1:6" x14ac:dyDescent="0.25">
      <c r="A61" t="s">
        <v>129</v>
      </c>
      <c r="B61" s="19">
        <f>IFERROR(B22/B36,"")</f>
        <v>14.000000000000002</v>
      </c>
      <c r="C61" s="19">
        <f>IF(C36&gt;0,IFERROR(B22/C36,""),"")</f>
        <v>14.452962177640044</v>
      </c>
    </row>
    <row r="62" spans="1:6" x14ac:dyDescent="0.25">
      <c r="A62" t="s">
        <v>130</v>
      </c>
      <c r="B62" s="8">
        <f>IFERROR(B59/B7,"")</f>
        <v>40761.111111111109</v>
      </c>
      <c r="C62" s="8">
        <f>IF(C59="","",IFERROR(C59/B7,""))</f>
        <v>40581.887222222227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9570000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7909193.4792372845</v>
      </c>
    </row>
    <row r="67" spans="1:2" x14ac:dyDescent="0.25">
      <c r="A67" s="21" t="s">
        <v>134</v>
      </c>
      <c r="B67" s="8">
        <f>IFERROR(MIN(B65,B66),"")</f>
        <v>7909193.4792372845</v>
      </c>
    </row>
    <row r="68" spans="1:2" x14ac:dyDescent="0.25">
      <c r="A68" t="s">
        <v>135</v>
      </c>
      <c r="B68" s="8">
        <f>IFERROR(B22-B67,"")</f>
        <v>8040806.5207627155</v>
      </c>
    </row>
    <row r="69" spans="1:2" x14ac:dyDescent="0.25">
      <c r="A69" t="s">
        <v>136</v>
      </c>
      <c r="B69" s="8">
        <f>IFERROR(-PMT(Assumptions!$B$22/12,Assumptions!$B$23*12,B67)*12,"")</f>
        <v>584379.17599999835</v>
      </c>
    </row>
    <row r="70" spans="1:2" x14ac:dyDescent="0.25">
      <c r="A70" t="s">
        <v>137</v>
      </c>
      <c r="B70" s="19">
        <f>IFERROR(C59/B69,"")</f>
        <v>1.2500000000000038</v>
      </c>
    </row>
    <row r="71" spans="1:2" x14ac:dyDescent="0.25">
      <c r="A71" t="s">
        <v>138</v>
      </c>
      <c r="B71" s="8">
        <f>IFERROR(C59-B69,"")</f>
        <v>146094.79400000174</v>
      </c>
    </row>
    <row r="72" spans="1:2" x14ac:dyDescent="0.25">
      <c r="A72" t="s">
        <v>139</v>
      </c>
      <c r="B72" s="18">
        <f>IFERROR(B71/B68,"")</f>
        <v>1.8169171664902072E-2</v>
      </c>
    </row>
    <row r="74" spans="1:2" x14ac:dyDescent="0.25">
      <c r="A74" s="2" t="s">
        <v>140</v>
      </c>
    </row>
  </sheetData>
  <hyperlinks>
    <hyperlink ref="A3" r:id="rId1" xr:uid="{42EB27F1-12B6-41D0-887E-2C85CCFAD275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32 3675 Dunn Dr</vt:lpstr>
      <vt:lpstr>'32 3675 Dunn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2026-09-17T18:57:32Z</dcterms:created>
  <dcterms:modified xsi:type="dcterms:W3CDTF">2026-09-17T18:57:35Z</dcterms:modified>
</cp:coreProperties>
</file>