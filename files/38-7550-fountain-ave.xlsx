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3B4882D-FD22-466B-A17E-36ACA0D698BA}" xr6:coauthVersionLast="47" xr6:coauthVersionMax="47" xr10:uidLastSave="{00000000-0000-0000-0000-000000000000}"/>
  <bookViews>
    <workbookView xWindow="-120" yWindow="-120" windowWidth="29040" windowHeight="15720" activeTab="1" xr2:uid="{2D78D7A4-4AFF-4E37-A168-55EB770EC35F}"/>
  </bookViews>
  <sheets>
    <sheet name="Assumptions" sheetId="1" r:id="rId1"/>
    <sheet name="38 7550 Fountain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B32" i="2"/>
  <c r="D31" i="2"/>
  <c r="E31" i="2" s="1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C61" i="2"/>
  <c r="C52" i="2"/>
  <c r="D32" i="2"/>
  <c r="C32" i="2" s="1"/>
  <c r="D53" i="2" l="1"/>
  <c r="D54" i="2"/>
  <c r="C54" i="2"/>
  <c r="C53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<sst xmlns="http://schemas.openxmlformats.org/spreadsheetml/2006/main" count="149" uniqueCount="141">
  <si>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</si>
  <si>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</si>
  <si>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</si>
  <si>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</si>
  <si>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</si>
  <si>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</si>
  <si>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</si>
  <si>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</si>
  <si>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</si>
  <si>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</si>
  <si>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</si>
  <si>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</si>
  <si>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</si>
  <si>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</si>
  <si>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</si>
  <si>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</si>
  <si>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</si>
  <si>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</si>
  <si>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</si>
  <si>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</si>
  <si>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</si>
  <si>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</si>
  <si>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</si>
  <si>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</si>
  <si>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</si>
  <si>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</si>
  <si>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</si>
  <si>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</si>
  <si>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</si>
  <si>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</si>
  <si>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</si>
  <si>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</si>
  <si>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</si>
  <si>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</si>
  <si>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</si>
  <si>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</si>
  <si>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</si>
  <si>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</si>
  <si>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</si>
  <si>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</si>
  <si>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</si>
  <si>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</si>
  <si>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</si>
  <si>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</si>
  <si>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</si>
  <si>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</si>
  <si>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</si>
  <si>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7550 Fountain Ave</t>
  </si>
  <si>
    <t>West Hollywood, CA 90046  |  West Hollywood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</si>
  <si>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</si>
  <si>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</si>
  <si>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</si>
  <si>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</si>
  <si>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</si>
  <si>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</si>
  <si>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</si>
  <si>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</si>
  <si>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</si>
  <si>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</si>
  <si>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</si>
  <si>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</si>
  <si>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WDR2* - Two-Family Dwellings</t>
  </si>
  <si>
    <t>Occupancy per listing</t>
  </si>
  <si>
    <t>100%</t>
  </si>
  <si>
    <t>APN</t>
  </si>
  <si>
    <t>5530-005-002</t>
  </si>
  <si>
    <t>Assessed value (current)</t>
  </si>
  <si>
    <t>Listing broker(s)</t>
  </si>
  <si>
    <t>Yar Meshkaty</t>
  </si>
  <si>
    <t>Date on market</t>
  </si>
  <si>
    <t>2/18/2026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</si>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</sst>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A57E5FB-98FE-47EF-8BF4-B738F72B4F5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50-Fountain-Ave-West-Hollywood-CA/394813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854E-030C-446F-97FB-F0DFEA4CA7F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D249-0EF3-40D7-94E0-2EB3B55BD731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9444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1958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3580514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3795000</v>
      </c>
    </row>
    <row r="23" spans="1:6" x14ac:dyDescent="0.25">
      <c r="A23" t="s">
        <v>75</v>
      </c>
      <c r="B23" s="8">
        <f>IFERROR(B22/B7,"")</f>
        <v>379500</v>
      </c>
    </row>
    <row r="24" spans="1:6" x14ac:dyDescent="0.25">
      <c r="A24" t="s">
        <v>76</v>
      </c>
      <c r="B24" s="17">
        <f>IFERROR(B22/B8,"")</f>
        <v>401.84243964421853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87</v>
      </c>
    </row>
    <row r="31" spans="1:6" x14ac:dyDescent="0.25">
      <c r="A31" t="s">
        <v>88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326400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326400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-9792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B22*Assumptions!$B$18</f>
        <v>45540</v>
      </c>
      <c r="D44" s="26">
        <f>C44</f>
        <v>45540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11444</v>
      </c>
      <c r="D45" s="26">
        <f t="shared" ref="D45:D51" si="1">IF(ISNUMBER(B45),MAX(B45,C45),C45)</f>
        <v>11444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110314.4</v>
      </c>
      <c r="D52" s="24">
        <f>SUM(D44:D51)</f>
        <v>110314.4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11031.439999999999</v>
      </c>
      <c r="D53" s="8">
        <f>IFERROR(D52/B7,"")</f>
        <v>11031.439999999999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0.34842581362441882</v>
      </c>
      <c r="D54" s="18">
        <f>IF(C36&gt;0,IFERROR(D52/C40,""),"")</f>
        <v>0.34842581362441882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206293.6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5.4359314888010539E-2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11.626838235294118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20629.36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2277000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2233640.1609606766</v>
      </c>
    </row>
    <row r="67" spans="1:2" x14ac:dyDescent="0.25">
      <c r="A67" s="22" t="s">
        <v>134</v>
      </c>
      <c r="B67" s="8">
        <f>IFERROR(MIN(B65,B66),"")</f>
        <v>2233640.1609606766</v>
      </c>
    </row>
    <row r="68" spans="1:2" x14ac:dyDescent="0.25">
      <c r="A68" t="s">
        <v>135</v>
      </c>
      <c r="B68" s="8">
        <f>IFERROR(B22-B67,"")</f>
        <v>1561359.8390393234</v>
      </c>
    </row>
    <row r="69" spans="1:2" x14ac:dyDescent="0.25">
      <c r="A69" t="s">
        <v>136</v>
      </c>
      <c r="B69" s="8">
        <f>IFERROR(-PMT(Assumptions!$B$22/12,Assumptions!$B$23*12,B67)*12,"")</f>
        <v>165034.87999999951</v>
      </c>
    </row>
    <row r="70" spans="1:2" x14ac:dyDescent="0.25">
      <c r="A70" t="s">
        <v>137</v>
      </c>
      <c r="B70" s="19">
        <f>IFERROR(C59/B69,"")</f>
        <v>1.2500000000000038</v>
      </c>
    </row>
    <row r="71" spans="1:2" x14ac:dyDescent="0.25">
      <c r="A71" t="s">
        <v>138</v>
      </c>
      <c r="B71" s="8">
        <f>IFERROR(C59-B69,"")</f>
        <v>41258.720000000496</v>
      </c>
    </row>
    <row r="72" spans="1:2" x14ac:dyDescent="0.25">
      <c r="A72" t="s">
        <v>139</v>
      </c>
      <c r="B72" s="18">
        <f>IFERROR(B71/B68,"")</f>
        <v>2.6424863102272596E-2</v>
      </c>
    </row>
    <row r="74" spans="1:2" x14ac:dyDescent="0.25">
      <c r="A74" s="2" t="s">
        <v>140</v>
      </c>
    </row>
  </sheetData>
  <hyperlinks>
    <hyperlink ref="A3" r:id="rId1" xr:uid="{99942352-54E4-42B8-BA18-6528765EF620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38 7550 Fountain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2026-09-17T20:13:50Z</dcterms:created>
  <dcterms:modified xsi:type="dcterms:W3CDTF">2026-09-17T20:13:50Z</dcterms:modified>
</cp:coreProperties>
</file>