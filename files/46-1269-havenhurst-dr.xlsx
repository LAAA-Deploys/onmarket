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niculete\LAAA-Deploys\onmarket\files\"/>
    </mc:Choice>
  </mc:AlternateContent>
  <xr:revisionPtr revIDLastSave="0" documentId="8_{DFDA8950-7EA5-4127-A6B6-DB40A6E0CF8E}" xr6:coauthVersionLast="47" xr6:coauthVersionMax="47" xr10:uidLastSave="{00000000-0000-0000-0000-000000000000}"/>
  <bookViews>
    <workbookView xWindow="-120" yWindow="-120" windowWidth="29040" windowHeight="15720" activeTab="1" xr2:uid="{CB433383-A928-44C4-A826-CD90569FA37B}"/>
  </bookViews>
  <sheets>
    <sheet name="Assumptions" sheetId="1" r:id="rId1"/>
    <sheet name="46 1269 Havenhurst Dr" sheetId="2" r:id="rId2"/>
  </sheets>
  <definedNames>
    <definedName name="_xlnm.Print_Area" localSheetId="1">'46 1269 Havenhurst Dr'!$A$1:$N$80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5" i="2" l="1"/>
  <c r="B61" i="2"/>
  <c r="E51" i="2"/>
  <c r="C51" i="2"/>
  <c r="D51" i="2" s="1"/>
  <c r="E50" i="2"/>
  <c r="C50" i="2"/>
  <c r="D50" i="2" s="1"/>
  <c r="E49" i="2"/>
  <c r="C49" i="2"/>
  <c r="D49" i="2" s="1"/>
  <c r="E48" i="2"/>
  <c r="D48" i="2"/>
  <c r="C48" i="2"/>
  <c r="E47" i="2"/>
  <c r="C47" i="2"/>
  <c r="D47" i="2" s="1"/>
  <c r="E46" i="2"/>
  <c r="E45" i="2"/>
  <c r="C45" i="2"/>
  <c r="D45" i="2" s="1"/>
  <c r="E44" i="2"/>
  <c r="D44" i="2"/>
  <c r="C44" i="2"/>
  <c r="B39" i="2"/>
  <c r="B38" i="2"/>
  <c r="B40" i="2" s="1"/>
  <c r="D32" i="2"/>
  <c r="C32" i="2" s="1"/>
  <c r="B32" i="2"/>
  <c r="D31" i="2"/>
  <c r="E31" i="2" s="1"/>
  <c r="D30" i="2"/>
  <c r="E30" i="2" s="1"/>
  <c r="B24" i="2"/>
  <c r="B23" i="2"/>
  <c r="B52" i="2" l="1"/>
  <c r="B59" i="2"/>
  <c r="E32" i="2"/>
  <c r="C36" i="2" s="1"/>
  <c r="C38" i="2" l="1"/>
  <c r="C39" i="2"/>
  <c r="C61" i="2"/>
  <c r="B60" i="2"/>
  <c r="B62" i="2"/>
  <c r="B54" i="2"/>
  <c r="B53" i="2"/>
  <c r="C40" i="2" l="1"/>
  <c r="C46" i="2" l="1"/>
  <c r="D46" i="2" l="1"/>
  <c r="D52" i="2" s="1"/>
  <c r="C52" i="2"/>
  <c r="C54" i="2" l="1"/>
  <c r="C53" i="2"/>
  <c r="D53" i="2"/>
  <c r="D54" i="2"/>
  <c r="B55" i="2"/>
  <c r="E52" i="2"/>
  <c r="C59" i="2"/>
  <c r="C60" i="2" l="1"/>
  <c r="C62" i="2"/>
  <c r="B66" i="2"/>
  <c r="B67" i="2" s="1"/>
  <c r="B69" i="2" l="1"/>
  <c r="B68" i="2"/>
  <c r="B71" i="2" l="1"/>
  <c r="B72" i="2" s="1"/>
  <c r="B70" i="2"/>
</calcChain>
</file>

<file path=xl/sharedStrings.xml><?xml version="1.0" encoding="utf-8"?>
<sst xmlns="http://schemas.openxmlformats.org/spreadsheetml/2006/main" count="148" uniqueCount="139">
  <si>
    <t>LAAA UNDERWRITING BENCHMARKS (edit here; every deal tab reads these)</t>
  </si>
  <si>
    <t>Vacancy &amp; credit loss (% of GSI)</t>
  </si>
  <si>
    <t>Standard LA practice; vacant units carried at asking rent inside scheduled GSR</t>
  </si>
  <si>
    <t>Management fee (% of EGI)</t>
  </si>
  <si>
    <t>Deal-by-deal agent choice; 5% default, MAX(OM, benchmark) used</t>
  </si>
  <si>
    <t>Insurance: per unit ($)</t>
  </si>
  <si>
    <t>LAAA benchmark = (units x $200) + (gross SF x $1.00)</t>
  </si>
  <si>
    <t>Insurance: per gross SF ($)</t>
  </si>
  <si>
    <t>Repairs &amp; maintenance per unit, pre-1990 ($/yr)</t>
  </si>
  <si>
    <t>Repairs &amp; maintenance per unit, 1990+ ($/yr)</t>
  </si>
  <si>
    <t>Utilities per unit, LA City ($/yr)</t>
  </si>
  <si>
    <t>Owner-paid water/sewer/trash/common electric+gas (LA Sanitation bundles trash)</t>
  </si>
  <si>
    <t>Utilities per unit, Santa Monica ($/yr)</t>
  </si>
  <si>
    <t>Separate trash hauler, higher water rates</t>
  </si>
  <si>
    <t>Utilities per unit, Beverly Hills / WeHo / Culver ($/yr)</t>
  </si>
  <si>
    <t>Contract services per unit ($/yr)</t>
  </si>
  <si>
    <t>Landscaping, pest, common-area cleaning</t>
  </si>
  <si>
    <t>Admin / legal / licenses / rent registration per unit ($/yr)</t>
  </si>
  <si>
    <t>Includes RSO/rent-board fees, business license, bookkeeping</t>
  </si>
  <si>
    <t>Replacement reserves per unit ($/yr)</t>
  </si>
  <si>
    <t>Property tax rate: Los Angeles City</t>
  </si>
  <si>
    <t>Ad valorem + direct assessments, reassessed at purchase price</t>
  </si>
  <si>
    <t>Property tax rate: Santa Monica</t>
  </si>
  <si>
    <t>Property tax rate: Beverly Hills</t>
  </si>
  <si>
    <t>Property tax rate: West Hollywood</t>
  </si>
  <si>
    <t>Property tax rate: Culver City</t>
  </si>
  <si>
    <t>Financing: max LTV</t>
  </si>
  <si>
    <t>Financing: min DCR on LAAA NOI</t>
  </si>
  <si>
    <t>Loan = lesser of LTV loan and DCR-sized loan</t>
  </si>
  <si>
    <t>Financing: interest rate</t>
  </si>
  <si>
    <t>Financing: amortization (years)</t>
  </si>
  <si>
    <t>OM "light" threshold: LAAA total exceeds OM total by more than</t>
  </si>
  <si>
    <t>Flags OM EXPENSES LIGHT on the deal tab and Master List</t>
  </si>
  <si>
    <t>Rent-allocation weights when only GRM is published (relative to 1 Bd)</t>
  </si>
  <si>
    <t>Studio</t>
  </si>
  <si>
    <t>1 Bd</t>
  </si>
  <si>
    <t>2 Bd</t>
  </si>
  <si>
    <t>3 Bd</t>
  </si>
  <si>
    <t>Estimated in-place rents when NOTHING is published (orange cells on deal tabs)</t>
  </si>
  <si>
    <t>Coastal (SM / Venice / WeHo / BH): Studio</t>
  </si>
  <si>
    <t>Coastal: 1 Bd</t>
  </si>
  <si>
    <t>Coastal: 2 Bd</t>
  </si>
  <si>
    <t>Coastal: 3 Bd</t>
  </si>
  <si>
    <t>West LA / Palms / Culver: Studio</t>
  </si>
  <si>
    <t>West LA / Palms / Culver: 1 Bd</t>
  </si>
  <si>
    <t>West LA / Palms / Culver: 2 Bd</t>
  </si>
  <si>
    <t>West LA / Palms / Culver: 3 Bd</t>
  </si>
  <si>
    <t>1269 Havenhurst Dr (Casa Julieta)</t>
  </si>
  <si>
    <t>West Hollywood, CA 90046  |  West Hollywood</t>
  </si>
  <si>
    <t>LoopNet listing</t>
  </si>
  <si>
    <t>Data pulled 9/17/2026 from LoopNet public listing</t>
  </si>
  <si>
    <t>PROPERTY</t>
  </si>
  <si>
    <t>Units</t>
  </si>
  <si>
    <t>Gross building SF</t>
  </si>
  <si>
    <t>Lot SF</t>
  </si>
  <si>
    <t>Lot acres</t>
  </si>
  <si>
    <t>Year built</t>
  </si>
  <si>
    <t>Stories</t>
  </si>
  <si>
    <t>2</t>
  </si>
  <si>
    <t>Zoning</t>
  </si>
  <si>
    <t>WDR4 - R4 zoning district provides for the development of a wide range of high-density multi-family housing, including apartments and condominiums.</t>
  </si>
  <si>
    <t>Occupancy per listing</t>
  </si>
  <si>
    <t>100%</t>
  </si>
  <si>
    <t>APN</t>
  </si>
  <si>
    <t>5554-016-033</t>
  </si>
  <si>
    <t>Assessed value (current)</t>
  </si>
  <si>
    <t>Listing broker(s)</t>
  </si>
  <si>
    <t>Mason Canter</t>
  </si>
  <si>
    <t>Date on market</t>
  </si>
  <si>
    <t>7/15/2026</t>
  </si>
  <si>
    <t>Listing last updated</t>
  </si>
  <si>
    <t>PRICING</t>
  </si>
  <si>
    <t>Asking price</t>
  </si>
  <si>
    <t>Price per unit</t>
  </si>
  <si>
    <t>Price per gross SF</t>
  </si>
  <si>
    <t>OM / listing cap rate (as published)</t>
  </si>
  <si>
    <t>OM / listing GRM (as published)</t>
  </si>
  <si>
    <t>UNIT MIX &amp; SCHEDULED RENT</t>
  </si>
  <si>
    <t>Unit type</t>
  </si>
  <si>
    <t># Units</t>
  </si>
  <si>
    <t>Avg rent / mo</t>
  </si>
  <si>
    <t>Monthly total</t>
  </si>
  <si>
    <t>Annual</t>
  </si>
  <si>
    <t>Rent source</t>
  </si>
  <si>
    <t>2 Bd / 1 Ba</t>
  </si>
  <si>
    <t>LoopNet published avg rent by unit type</t>
  </si>
  <si>
    <t>1 Bd / 1 Ba</t>
  </si>
  <si>
    <t>Total / weighted avg</t>
  </si>
  <si>
    <t>INCOME</t>
  </si>
  <si>
    <t>OM as presented</t>
  </si>
  <si>
    <t>LAAA underwritten</t>
  </si>
  <si>
    <t>Basis / note</t>
  </si>
  <si>
    <t>Scheduled gross rent</t>
  </si>
  <si>
    <t>OM column: price / published GRM</t>
  </si>
  <si>
    <t>Other income (laundry, parking, RUBS)</t>
  </si>
  <si>
    <t>Gross scheduled income</t>
  </si>
  <si>
    <t>Vacancy &amp; credit loss</t>
  </si>
  <si>
    <t>OM 3.0% (OM figure if extracted, else 3% assumed); LAAA per Assumptions</t>
  </si>
  <si>
    <t>Effective gross income</t>
  </si>
  <si>
    <t>OPERATING EXPENSES</t>
  </si>
  <si>
    <t>Expense line</t>
  </si>
  <si>
    <t>LAAA benchmark</t>
  </si>
  <si>
    <t>Delta vs OM</t>
  </si>
  <si>
    <t>Property taxes (reassessed at price)</t>
  </si>
  <si>
    <t>West Hollywood rate x asking price; always reassessed, never MAX</t>
  </si>
  <si>
    <t>Insurance</t>
  </si>
  <si>
    <t>LAAA benchmark (units x $200) + (SF x $1.00)</t>
  </si>
  <si>
    <t>Management</t>
  </si>
  <si>
    <t>% of LAAA EGI</t>
  </si>
  <si>
    <t>Repairs &amp; maintenance</t>
  </si>
  <si>
    <t>per unit, by vintage</t>
  </si>
  <si>
    <t>Utilities (water/sewer/trash/common electric &amp; gas)</t>
  </si>
  <si>
    <t>per unit, by city</t>
  </si>
  <si>
    <t>Contract services (landscape, pest, cleaning)</t>
  </si>
  <si>
    <t>per unit</t>
  </si>
  <si>
    <t>Admin / legal / licenses / rent registration</t>
  </si>
  <si>
    <t>per unit; OM "other" items land here</t>
  </si>
  <si>
    <t>Replacement reserves</t>
  </si>
  <si>
    <t>Total operating expenses</t>
  </si>
  <si>
    <t>OM line items not published. OM total IMPLIED = OM EGI - (price x published cap)</t>
  </si>
  <si>
    <t>Expenses per unit</t>
  </si>
  <si>
    <t>Expenses as % of EGI</t>
  </si>
  <si>
    <t>OM expense test</t>
  </si>
  <si>
    <t>NOI &amp; RETURNS</t>
  </si>
  <si>
    <t>Net operating income</t>
  </si>
  <si>
    <t>Cap rate on asking price</t>
  </si>
  <si>
    <t>OM column recomputed from OM figures; compare to published cap above</t>
  </si>
  <si>
    <t>GRM (price / scheduled rent)</t>
  </si>
  <si>
    <t>NOI per unit</t>
  </si>
  <si>
    <t>FINANCING (illustrative, on LAAA NOI)</t>
  </si>
  <si>
    <t>LTV loan</t>
  </si>
  <si>
    <t>DCR-sized loan</t>
  </si>
  <si>
    <t>Loan amount (lesser of)</t>
  </si>
  <si>
    <t>Down payment</t>
  </si>
  <si>
    <t>Annual debt service</t>
  </si>
  <si>
    <t>DCR</t>
  </si>
  <si>
    <t>Cash flow after debt service</t>
  </si>
  <si>
    <t>Cash-on-cash return</t>
  </si>
  <si>
    <t>Legend: yellow = published input, orange = estimated (nothing published), grey = LAAA underwritten (MAX of OM line and benchmark; taxes always reassessed).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</si>
</sst>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;\(\$#,##0\);&quot;-&quot;"/>
    <numFmt numFmtId="165" formatCode="\$#,##0.00"/>
    <numFmt numFmtId="166" formatCode="0.00&quot;x&quot;"/>
  </numFmts>
  <fonts count="10" x14ac:knownFonts="1">
    <font>
      <sz val="11"/>
      <color theme="1"/>
      <name val="Calibri"/>
      <family val="2"/>
      <scheme val="minor"/>
    </font>
    <font>
      <b/>
      <sz val="13"/>
      <color rgb="FF1B3A5C"/>
      <name val="Calibri"/>
    </font>
    <font>
      <i/>
      <sz val="9"/>
      <color rgb="FF595959"/>
      <name val="Calibri"/>
    </font>
    <font>
      <b/>
      <sz val="11"/>
      <color rgb="FF1B3A5C"/>
      <name val="Calibri"/>
    </font>
    <font>
      <b/>
      <sz val="15"/>
      <color rgb="FF1B3A5C"/>
      <name val="Calibri"/>
    </font>
    <font>
      <sz val="11"/>
      <color rgb="FF595959"/>
      <name val="Calibri"/>
    </font>
    <font>
      <u/>
      <sz val="11"/>
      <color rgb="FF0563C1"/>
      <name val="Calibri"/>
    </font>
    <font>
      <b/>
      <sz val="10"/>
      <color rgb="FFFFFFFF"/>
      <name val="Calibri"/>
    </font>
    <font>
      <b/>
      <sz val="11"/>
      <name val="Calibri"/>
    </font>
    <font>
      <b/>
      <sz val="11"/>
      <color rgb="FFC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8EDF3"/>
      </patternFill>
    </fill>
    <fill>
      <patternFill patternType="solid">
        <fgColor rgb="FF1B3A5C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10" fontId="0" fillId="2" borderId="1" xfId="0" applyNumberFormat="1" applyFill="1" applyBorder="1"/>
    <xf numFmtId="164" fontId="0" fillId="2" borderId="1" xfId="0" applyNumberFormat="1" applyFill="1" applyBorder="1"/>
    <xf numFmtId="165" fontId="0" fillId="2" borderId="1" xfId="0" applyNumberFormat="1" applyFill="1" applyBorder="1"/>
    <xf numFmtId="0" fontId="0" fillId="2" borderId="1" xfId="0" applyFill="1" applyBorder="1"/>
    <xf numFmtId="0" fontId="3" fillId="0" borderId="0" xfId="0" applyFont="1"/>
    <xf numFmtId="164" fontId="0" fillId="0" borderId="0" xfId="0" applyNumberForma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3" fillId="3" borderId="0" xfId="0" applyFont="1" applyFill="1"/>
    <xf numFmtId="0" fontId="0" fillId="3" borderId="0" xfId="0" applyFill="1"/>
    <xf numFmtId="3" fontId="0" fillId="0" borderId="0" xfId="0" applyNumberFormat="1"/>
    <xf numFmtId="2" fontId="0" fillId="0" borderId="0" xfId="0" applyNumberFormat="1"/>
    <xf numFmtId="165" fontId="0" fillId="0" borderId="0" xfId="0" applyNumberFormat="1"/>
    <xf numFmtId="10" fontId="0" fillId="0" borderId="0" xfId="0" applyNumberFormat="1"/>
    <xf numFmtId="166" fontId="0" fillId="0" borderId="0" xfId="0" applyNumberFormat="1"/>
    <xf numFmtId="0" fontId="7" fillId="4" borderId="0" xfId="0" applyFont="1" applyFill="1" applyAlignment="1">
      <alignment horizontal="center"/>
    </xf>
    <xf numFmtId="0" fontId="8" fillId="0" borderId="0" xfId="0" applyFont="1"/>
    <xf numFmtId="3" fontId="8" fillId="0" borderId="0" xfId="0" applyNumberFormat="1" applyFont="1"/>
    <xf numFmtId="164" fontId="8" fillId="0" borderId="0" xfId="0" applyNumberFormat="1" applyFont="1"/>
    <xf numFmtId="0" fontId="7" fillId="4" borderId="0" xfId="0" applyFont="1" applyFill="1"/>
    <xf numFmtId="164" fontId="0" fillId="5" borderId="0" xfId="0" applyNumberFormat="1" applyFill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4000500" cy="29908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E0EF4C51-957E-49DD-AAB6-0E84728F04DC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01350" y="0"/>
          <a:ext cx="4000500" cy="29908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loopnet.com/Listing/1269-Havenhurst-Dr-West-Hollywood-CA/4129996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F1F65-EFA9-45E2-914B-9F2AD82C03D8}">
  <dimension ref="A1:C40"/>
  <sheetViews>
    <sheetView workbookViewId="0"/>
  </sheetViews>
  <sheetFormatPr defaultRowHeight="15" x14ac:dyDescent="0.25"/>
  <cols>
    <col min="1" max="1" width="62" customWidth="1"/>
    <col min="2" max="2" width="14" customWidth="1"/>
    <col min="3" max="3" width="80" customWidth="1"/>
  </cols>
  <sheetData>
    <row r="1" spans="1:3" ht="17.25" x14ac:dyDescent="0.3">
      <c r="A1" s="1" t="s">
        <v>0</v>
      </c>
      <c r="C1" s="2"/>
    </row>
    <row r="2" spans="1:3" x14ac:dyDescent="0.25">
      <c r="C2" s="2"/>
    </row>
    <row r="3" spans="1:3" x14ac:dyDescent="0.25">
      <c r="A3" t="s">
        <v>1</v>
      </c>
      <c r="B3" s="3">
        <v>0.03</v>
      </c>
      <c r="C3" s="2" t="s">
        <v>2</v>
      </c>
    </row>
    <row r="4" spans="1:3" x14ac:dyDescent="0.25">
      <c r="A4" t="s">
        <v>3</v>
      </c>
      <c r="B4" s="3">
        <v>0.05</v>
      </c>
      <c r="C4" s="2" t="s">
        <v>4</v>
      </c>
    </row>
    <row r="5" spans="1:3" x14ac:dyDescent="0.25">
      <c r="A5" t="s">
        <v>5</v>
      </c>
      <c r="B5" s="4">
        <v>200</v>
      </c>
      <c r="C5" s="2" t="s">
        <v>6</v>
      </c>
    </row>
    <row r="6" spans="1:3" x14ac:dyDescent="0.25">
      <c r="A6" t="s">
        <v>7</v>
      </c>
      <c r="B6" s="5">
        <v>1</v>
      </c>
      <c r="C6" s="2"/>
    </row>
    <row r="7" spans="1:3" x14ac:dyDescent="0.25">
      <c r="A7" t="s">
        <v>8</v>
      </c>
      <c r="B7" s="4">
        <v>1200</v>
      </c>
      <c r="C7" s="2"/>
    </row>
    <row r="8" spans="1:3" x14ac:dyDescent="0.25">
      <c r="A8" t="s">
        <v>9</v>
      </c>
      <c r="B8" s="4">
        <v>800</v>
      </c>
      <c r="C8" s="2"/>
    </row>
    <row r="9" spans="1:3" x14ac:dyDescent="0.25">
      <c r="A9" t="s">
        <v>10</v>
      </c>
      <c r="B9" s="4">
        <v>1500</v>
      </c>
      <c r="C9" s="2" t="s">
        <v>11</v>
      </c>
    </row>
    <row r="10" spans="1:3" x14ac:dyDescent="0.25">
      <c r="A10" t="s">
        <v>12</v>
      </c>
      <c r="B10" s="4">
        <v>1800</v>
      </c>
      <c r="C10" s="2" t="s">
        <v>13</v>
      </c>
    </row>
    <row r="11" spans="1:3" x14ac:dyDescent="0.25">
      <c r="A11" t="s">
        <v>14</v>
      </c>
      <c r="B11" s="4">
        <v>1600</v>
      </c>
      <c r="C11" s="2"/>
    </row>
    <row r="12" spans="1:3" x14ac:dyDescent="0.25">
      <c r="A12" t="s">
        <v>15</v>
      </c>
      <c r="B12" s="4">
        <v>400</v>
      </c>
      <c r="C12" s="2" t="s">
        <v>16</v>
      </c>
    </row>
    <row r="13" spans="1:3" x14ac:dyDescent="0.25">
      <c r="A13" t="s">
        <v>17</v>
      </c>
      <c r="B13" s="4">
        <v>250</v>
      </c>
      <c r="C13" s="2" t="s">
        <v>18</v>
      </c>
    </row>
    <row r="14" spans="1:3" x14ac:dyDescent="0.25">
      <c r="A14" t="s">
        <v>19</v>
      </c>
      <c r="B14" s="4">
        <v>300</v>
      </c>
      <c r="C14" s="2"/>
    </row>
    <row r="15" spans="1:3" x14ac:dyDescent="0.25">
      <c r="A15" t="s">
        <v>20</v>
      </c>
      <c r="B15" s="3">
        <v>1.2500000000000001E-2</v>
      </c>
      <c r="C15" s="2" t="s">
        <v>21</v>
      </c>
    </row>
    <row r="16" spans="1:3" x14ac:dyDescent="0.25">
      <c r="A16" t="s">
        <v>22</v>
      </c>
      <c r="B16" s="3">
        <v>1.15E-2</v>
      </c>
      <c r="C16" s="2"/>
    </row>
    <row r="17" spans="1:3" x14ac:dyDescent="0.25">
      <c r="A17" t="s">
        <v>23</v>
      </c>
      <c r="B17" s="3">
        <v>1.15E-2</v>
      </c>
      <c r="C17" s="2"/>
    </row>
    <row r="18" spans="1:3" x14ac:dyDescent="0.25">
      <c r="A18" t="s">
        <v>24</v>
      </c>
      <c r="B18" s="3">
        <v>1.2E-2</v>
      </c>
      <c r="C18" s="2"/>
    </row>
    <row r="19" spans="1:3" x14ac:dyDescent="0.25">
      <c r="A19" t="s">
        <v>25</v>
      </c>
      <c r="B19" s="3">
        <v>1.2E-2</v>
      </c>
      <c r="C19" s="2"/>
    </row>
    <row r="20" spans="1:3" x14ac:dyDescent="0.25">
      <c r="A20" t="s">
        <v>26</v>
      </c>
      <c r="B20" s="3">
        <v>0.6</v>
      </c>
      <c r="C20" s="2"/>
    </row>
    <row r="21" spans="1:3" x14ac:dyDescent="0.25">
      <c r="A21" t="s">
        <v>27</v>
      </c>
      <c r="B21" s="6">
        <v>1.25</v>
      </c>
      <c r="C21" s="2" t="s">
        <v>28</v>
      </c>
    </row>
    <row r="22" spans="1:3" x14ac:dyDescent="0.25">
      <c r="A22" t="s">
        <v>29</v>
      </c>
      <c r="B22" s="3">
        <v>6.25E-2</v>
      </c>
      <c r="C22" s="2"/>
    </row>
    <row r="23" spans="1:3" x14ac:dyDescent="0.25">
      <c r="A23" t="s">
        <v>30</v>
      </c>
      <c r="B23" s="6">
        <v>30</v>
      </c>
      <c r="C23" s="2"/>
    </row>
    <row r="24" spans="1:3" x14ac:dyDescent="0.25">
      <c r="A24" t="s">
        <v>31</v>
      </c>
      <c r="B24" s="3">
        <v>0.05</v>
      </c>
      <c r="C24" s="2" t="s">
        <v>32</v>
      </c>
    </row>
    <row r="25" spans="1:3" x14ac:dyDescent="0.25">
      <c r="C25" s="2"/>
    </row>
    <row r="26" spans="1:3" x14ac:dyDescent="0.25">
      <c r="A26" s="7" t="s">
        <v>33</v>
      </c>
      <c r="C26" s="2"/>
    </row>
    <row r="27" spans="1:3" x14ac:dyDescent="0.25">
      <c r="A27" t="s">
        <v>34</v>
      </c>
      <c r="B27" s="6">
        <v>0.7</v>
      </c>
      <c r="C27" s="2"/>
    </row>
    <row r="28" spans="1:3" x14ac:dyDescent="0.25">
      <c r="A28" t="s">
        <v>35</v>
      </c>
      <c r="B28" s="6">
        <v>1</v>
      </c>
      <c r="C28" s="2"/>
    </row>
    <row r="29" spans="1:3" x14ac:dyDescent="0.25">
      <c r="A29" t="s">
        <v>36</v>
      </c>
      <c r="B29" s="6">
        <v>1.35</v>
      </c>
      <c r="C29" s="2"/>
    </row>
    <row r="30" spans="1:3" x14ac:dyDescent="0.25">
      <c r="A30" t="s">
        <v>37</v>
      </c>
      <c r="B30" s="6">
        <v>1.75</v>
      </c>
      <c r="C30" s="2"/>
    </row>
    <row r="31" spans="1:3" x14ac:dyDescent="0.25">
      <c r="C31" s="2"/>
    </row>
    <row r="32" spans="1:3" x14ac:dyDescent="0.25">
      <c r="A32" s="7" t="s">
        <v>38</v>
      </c>
      <c r="B32" s="8"/>
      <c r="C32" s="2"/>
    </row>
    <row r="33" spans="1:3" x14ac:dyDescent="0.25">
      <c r="A33" t="s">
        <v>39</v>
      </c>
      <c r="B33" s="4">
        <v>1900</v>
      </c>
      <c r="C33" s="2"/>
    </row>
    <row r="34" spans="1:3" x14ac:dyDescent="0.25">
      <c r="A34" t="s">
        <v>40</v>
      </c>
      <c r="B34" s="4">
        <v>2400</v>
      </c>
      <c r="C34" s="2"/>
    </row>
    <row r="35" spans="1:3" x14ac:dyDescent="0.25">
      <c r="A35" t="s">
        <v>41</v>
      </c>
      <c r="B35" s="4">
        <v>3200</v>
      </c>
      <c r="C35" s="2"/>
    </row>
    <row r="36" spans="1:3" x14ac:dyDescent="0.25">
      <c r="A36" t="s">
        <v>42</v>
      </c>
      <c r="B36" s="4">
        <v>4200</v>
      </c>
      <c r="C36" s="2"/>
    </row>
    <row r="37" spans="1:3" x14ac:dyDescent="0.25">
      <c r="A37" t="s">
        <v>43</v>
      </c>
      <c r="B37" s="4">
        <v>1750</v>
      </c>
      <c r="C37" s="2"/>
    </row>
    <row r="38" spans="1:3" x14ac:dyDescent="0.25">
      <c r="A38" t="s">
        <v>44</v>
      </c>
      <c r="B38" s="4">
        <v>2200</v>
      </c>
      <c r="C38" s="2"/>
    </row>
    <row r="39" spans="1:3" x14ac:dyDescent="0.25">
      <c r="A39" t="s">
        <v>45</v>
      </c>
      <c r="B39" s="4">
        <v>2900</v>
      </c>
      <c r="C39" s="2"/>
    </row>
    <row r="40" spans="1:3" x14ac:dyDescent="0.25">
      <c r="A40" t="s">
        <v>46</v>
      </c>
      <c r="B40" s="4">
        <v>3800</v>
      </c>
      <c r="C40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34CBD-2C3B-4EB4-8102-B27C29F00A10}">
  <sheetPr>
    <pageSetUpPr fitToPage="1"/>
  </sheetPr>
  <dimension ref="A1:F74"/>
  <sheetViews>
    <sheetView showGridLines="0" tabSelected="1" workbookViewId="0">
      <pane ySplit="5" topLeftCell="A6" activePane="bottomLeft" state="frozen"/>
      <selection pane="bottomLeft"/>
    </sheetView>
  </sheetViews>
  <sheetFormatPr defaultRowHeight="15" x14ac:dyDescent="0.25"/>
  <cols>
    <col min="1" max="1" width="38" customWidth="1"/>
    <col min="2" max="5" width="16" customWidth="1"/>
    <col min="6" max="6" width="48" customWidth="1"/>
    <col min="7" max="7" width="12" customWidth="1"/>
  </cols>
  <sheetData>
    <row r="1" spans="1:3" ht="19.5" x14ac:dyDescent="0.3">
      <c r="A1" s="9" t="s">
        <v>47</v>
      </c>
    </row>
    <row r="2" spans="1:3" x14ac:dyDescent="0.25">
      <c r="A2" s="10" t="s">
        <v>48</v>
      </c>
    </row>
    <row r="3" spans="1:3" x14ac:dyDescent="0.25">
      <c r="A3" s="11" t="s">
        <v>49</v>
      </c>
      <c r="B3" s="2" t="s">
        <v>50</v>
      </c>
    </row>
    <row r="6" spans="1:3" x14ac:dyDescent="0.25">
      <c r="A6" s="12" t="s">
        <v>51</v>
      </c>
      <c r="B6" s="13"/>
      <c r="C6" s="13"/>
    </row>
    <row r="7" spans="1:3" x14ac:dyDescent="0.25">
      <c r="A7" t="s">
        <v>52</v>
      </c>
      <c r="B7" s="14">
        <v>10</v>
      </c>
    </row>
    <row r="8" spans="1:3" x14ac:dyDescent="0.25">
      <c r="A8" t="s">
        <v>53</v>
      </c>
      <c r="B8" s="14">
        <v>10171</v>
      </c>
    </row>
    <row r="9" spans="1:3" x14ac:dyDescent="0.25">
      <c r="A9" t="s">
        <v>54</v>
      </c>
      <c r="B9" s="14">
        <v>15246</v>
      </c>
    </row>
    <row r="10" spans="1:3" x14ac:dyDescent="0.25">
      <c r="A10" t="s">
        <v>55</v>
      </c>
      <c r="B10" s="15">
        <v>0.35</v>
      </c>
    </row>
    <row r="11" spans="1:3" x14ac:dyDescent="0.25">
      <c r="A11" t="s">
        <v>56</v>
      </c>
      <c r="B11">
        <v>1939</v>
      </c>
    </row>
    <row r="12" spans="1:3" x14ac:dyDescent="0.25">
      <c r="A12" t="s">
        <v>57</v>
      </c>
      <c r="B12" t="s">
        <v>58</v>
      </c>
    </row>
    <row r="13" spans="1:3" x14ac:dyDescent="0.25">
      <c r="A13" t="s">
        <v>59</v>
      </c>
      <c r="B13" t="s">
        <v>60</v>
      </c>
    </row>
    <row r="14" spans="1:3" x14ac:dyDescent="0.25">
      <c r="A14" t="s">
        <v>61</v>
      </c>
      <c r="B14" t="s">
        <v>62</v>
      </c>
    </row>
    <row r="15" spans="1:3" x14ac:dyDescent="0.25">
      <c r="A15" t="s">
        <v>63</v>
      </c>
      <c r="B15" t="s">
        <v>64</v>
      </c>
    </row>
    <row r="16" spans="1:3" x14ac:dyDescent="0.25">
      <c r="A16" t="s">
        <v>65</v>
      </c>
      <c r="B16" s="8">
        <v>597131</v>
      </c>
    </row>
    <row r="17" spans="1:6" x14ac:dyDescent="0.25">
      <c r="A17" t="s">
        <v>66</v>
      </c>
      <c r="B17" t="s">
        <v>67</v>
      </c>
    </row>
    <row r="18" spans="1:6" x14ac:dyDescent="0.25">
      <c r="A18" t="s">
        <v>68</v>
      </c>
      <c r="B18" t="s">
        <v>69</v>
      </c>
    </row>
    <row r="19" spans="1:6" x14ac:dyDescent="0.25">
      <c r="A19" t="s">
        <v>70</v>
      </c>
      <c r="B19" t="s">
        <v>69</v>
      </c>
    </row>
    <row r="21" spans="1:6" x14ac:dyDescent="0.25">
      <c r="A21" s="12" t="s">
        <v>71</v>
      </c>
      <c r="B21" s="13"/>
      <c r="C21" s="13"/>
    </row>
    <row r="22" spans="1:6" x14ac:dyDescent="0.25">
      <c r="A22" t="s">
        <v>72</v>
      </c>
      <c r="B22" s="4">
        <v>4995000</v>
      </c>
    </row>
    <row r="23" spans="1:6" x14ac:dyDescent="0.25">
      <c r="A23" t="s">
        <v>73</v>
      </c>
      <c r="B23" s="8">
        <f>IFERROR(B22/B7,"")</f>
        <v>499500</v>
      </c>
    </row>
    <row r="24" spans="1:6" x14ac:dyDescent="0.25">
      <c r="A24" t="s">
        <v>74</v>
      </c>
      <c r="B24" s="16">
        <f>IFERROR(B22/B8,"")</f>
        <v>491.10215318061154</v>
      </c>
    </row>
    <row r="25" spans="1:6" x14ac:dyDescent="0.25">
      <c r="A25" t="s">
        <v>75</v>
      </c>
      <c r="B25" s="17">
        <v>3.7999999999999999E-2</v>
      </c>
    </row>
    <row r="26" spans="1:6" x14ac:dyDescent="0.25">
      <c r="A26" t="s">
        <v>76</v>
      </c>
      <c r="B26" s="18">
        <v>16.27</v>
      </c>
    </row>
    <row r="28" spans="1:6" x14ac:dyDescent="0.25">
      <c r="A28" s="12" t="s">
        <v>77</v>
      </c>
      <c r="B28" s="13"/>
      <c r="C28" s="13"/>
      <c r="D28" s="13"/>
      <c r="E28" s="13"/>
      <c r="F28" s="13"/>
    </row>
    <row r="29" spans="1:6" x14ac:dyDescent="0.25">
      <c r="A29" s="19" t="s">
        <v>78</v>
      </c>
      <c r="B29" s="19" t="s">
        <v>79</v>
      </c>
      <c r="C29" s="19" t="s">
        <v>80</v>
      </c>
      <c r="D29" s="19" t="s">
        <v>81</v>
      </c>
      <c r="E29" s="19" t="s">
        <v>82</v>
      </c>
      <c r="F29" s="19" t="s">
        <v>83</v>
      </c>
    </row>
    <row r="30" spans="1:6" x14ac:dyDescent="0.25">
      <c r="A30" t="s">
        <v>84</v>
      </c>
      <c r="B30" s="14">
        <v>4</v>
      </c>
      <c r="C30" s="4">
        <v>2736</v>
      </c>
      <c r="D30" s="8">
        <f>B30*C30</f>
        <v>10944</v>
      </c>
      <c r="E30" s="8">
        <f>D30*12</f>
        <v>131328</v>
      </c>
      <c r="F30" s="2" t="s">
        <v>85</v>
      </c>
    </row>
    <row r="31" spans="1:6" x14ac:dyDescent="0.25">
      <c r="A31" t="s">
        <v>86</v>
      </c>
      <c r="B31" s="14">
        <v>6</v>
      </c>
      <c r="C31" s="4">
        <v>2424</v>
      </c>
      <c r="D31" s="8">
        <f>B31*C31</f>
        <v>14544</v>
      </c>
      <c r="E31" s="8">
        <f>D31*12</f>
        <v>174528</v>
      </c>
      <c r="F31" s="2" t="s">
        <v>85</v>
      </c>
    </row>
    <row r="32" spans="1:6" x14ac:dyDescent="0.25">
      <c r="A32" s="20" t="s">
        <v>87</v>
      </c>
      <c r="B32" s="21">
        <f>SUM(B30:B31)</f>
        <v>10</v>
      </c>
      <c r="C32" s="22">
        <f>IFERROR(D32/B32,"")</f>
        <v>2548.8000000000002</v>
      </c>
      <c r="D32" s="22">
        <f>SUM(D30:D31)</f>
        <v>25488</v>
      </c>
      <c r="E32" s="22">
        <f>SUM(E30:E31)</f>
        <v>305856</v>
      </c>
    </row>
    <row r="34" spans="1:6" x14ac:dyDescent="0.25">
      <c r="A34" s="12" t="s">
        <v>88</v>
      </c>
      <c r="B34" s="13"/>
      <c r="C34" s="13"/>
      <c r="D34" s="13"/>
      <c r="E34" s="13"/>
      <c r="F34" s="13"/>
    </row>
    <row r="35" spans="1:6" x14ac:dyDescent="0.25">
      <c r="A35" s="23"/>
      <c r="B35" s="23" t="s">
        <v>89</v>
      </c>
      <c r="C35" s="23" t="s">
        <v>90</v>
      </c>
      <c r="D35" s="23"/>
      <c r="E35" s="23"/>
      <c r="F35" s="23" t="s">
        <v>91</v>
      </c>
    </row>
    <row r="36" spans="1:6" x14ac:dyDescent="0.25">
      <c r="A36" t="s">
        <v>92</v>
      </c>
      <c r="B36" s="8">
        <v>307006.76090964972</v>
      </c>
      <c r="C36" s="8">
        <f>E32</f>
        <v>305856</v>
      </c>
      <c r="F36" s="2" t="s">
        <v>93</v>
      </c>
    </row>
    <row r="37" spans="1:6" x14ac:dyDescent="0.25">
      <c r="A37" t="s">
        <v>94</v>
      </c>
      <c r="B37" s="8">
        <v>0</v>
      </c>
      <c r="C37" s="4">
        <v>0</v>
      </c>
    </row>
    <row r="38" spans="1:6" x14ac:dyDescent="0.25">
      <c r="A38" s="20" t="s">
        <v>95</v>
      </c>
      <c r="B38" s="8">
        <f>B36+B37</f>
        <v>307006.76090964972</v>
      </c>
      <c r="C38" s="8">
        <f>C36+C37</f>
        <v>305856</v>
      </c>
    </row>
    <row r="39" spans="1:6" x14ac:dyDescent="0.25">
      <c r="A39" t="s">
        <v>96</v>
      </c>
      <c r="B39" s="8">
        <f>-B36*0.03</f>
        <v>-9210.2028272894913</v>
      </c>
      <c r="C39" s="8">
        <f>-C36*Assumptions!$B$3</f>
        <v>-9175.68</v>
      </c>
      <c r="F39" s="2" t="s">
        <v>97</v>
      </c>
    </row>
    <row r="40" spans="1:6" x14ac:dyDescent="0.25">
      <c r="A40" s="20" t="s">
        <v>98</v>
      </c>
      <c r="B40" s="22">
        <f>B38+B39</f>
        <v>297796.55808236025</v>
      </c>
      <c r="C40" s="22">
        <f>C38+C39</f>
        <v>296680.32000000001</v>
      </c>
    </row>
    <row r="42" spans="1:6" x14ac:dyDescent="0.25">
      <c r="A42" s="12" t="s">
        <v>99</v>
      </c>
      <c r="B42" s="13"/>
      <c r="C42" s="13"/>
      <c r="D42" s="13"/>
      <c r="E42" s="13"/>
      <c r="F42" s="13"/>
    </row>
    <row r="43" spans="1:6" x14ac:dyDescent="0.25">
      <c r="A43" s="23" t="s">
        <v>100</v>
      </c>
      <c r="B43" s="23" t="s">
        <v>89</v>
      </c>
      <c r="C43" s="23" t="s">
        <v>101</v>
      </c>
      <c r="D43" s="23" t="s">
        <v>90</v>
      </c>
      <c r="E43" s="23" t="s">
        <v>102</v>
      </c>
      <c r="F43" s="23" t="s">
        <v>91</v>
      </c>
    </row>
    <row r="44" spans="1:6" x14ac:dyDescent="0.25">
      <c r="A44" t="s">
        <v>103</v>
      </c>
      <c r="B44" s="8"/>
      <c r="C44" s="8">
        <f>B22*Assumptions!$B$18</f>
        <v>59940</v>
      </c>
      <c r="D44" s="24">
        <f>C44</f>
        <v>59940</v>
      </c>
      <c r="E44" s="8" t="str">
        <f t="shared" ref="E44:E52" si="0">IF(ISNUMBER(B44),D44-B44,"")</f>
        <v/>
      </c>
      <c r="F44" s="2" t="s">
        <v>104</v>
      </c>
    </row>
    <row r="45" spans="1:6" x14ac:dyDescent="0.25">
      <c r="A45" t="s">
        <v>105</v>
      </c>
      <c r="B45" s="8"/>
      <c r="C45" s="8">
        <f>B7*Assumptions!$B$5+B8*Assumptions!$B$6</f>
        <v>12171</v>
      </c>
      <c r="D45" s="24">
        <f t="shared" ref="D45:D51" si="1">IF(ISNUMBER(B45),MAX(B45,C45),C45)</f>
        <v>12171</v>
      </c>
      <c r="E45" s="8" t="str">
        <f t="shared" si="0"/>
        <v/>
      </c>
      <c r="F45" s="2" t="s">
        <v>106</v>
      </c>
    </row>
    <row r="46" spans="1:6" x14ac:dyDescent="0.25">
      <c r="A46" t="s">
        <v>107</v>
      </c>
      <c r="B46" s="8"/>
      <c r="C46" s="8">
        <f>C40*Assumptions!$B$4</f>
        <v>14834.016000000001</v>
      </c>
      <c r="D46" s="24">
        <f t="shared" si="1"/>
        <v>14834.016000000001</v>
      </c>
      <c r="E46" s="8" t="str">
        <f t="shared" si="0"/>
        <v/>
      </c>
      <c r="F46" s="2" t="s">
        <v>108</v>
      </c>
    </row>
    <row r="47" spans="1:6" x14ac:dyDescent="0.25">
      <c r="A47" t="s">
        <v>109</v>
      </c>
      <c r="B47" s="8"/>
      <c r="C47" s="8">
        <f>B7*Assumptions!$B$7</f>
        <v>12000</v>
      </c>
      <c r="D47" s="24">
        <f t="shared" si="1"/>
        <v>12000</v>
      </c>
      <c r="E47" s="8" t="str">
        <f t="shared" si="0"/>
        <v/>
      </c>
      <c r="F47" s="2" t="s">
        <v>110</v>
      </c>
    </row>
    <row r="48" spans="1:6" x14ac:dyDescent="0.25">
      <c r="A48" t="s">
        <v>111</v>
      </c>
      <c r="B48" s="8"/>
      <c r="C48" s="8">
        <f>B7*Assumptions!$B$11</f>
        <v>16000</v>
      </c>
      <c r="D48" s="24">
        <f t="shared" si="1"/>
        <v>16000</v>
      </c>
      <c r="E48" s="8" t="str">
        <f t="shared" si="0"/>
        <v/>
      </c>
      <c r="F48" s="2" t="s">
        <v>112</v>
      </c>
    </row>
    <row r="49" spans="1:6" x14ac:dyDescent="0.25">
      <c r="A49" t="s">
        <v>113</v>
      </c>
      <c r="B49" s="8"/>
      <c r="C49" s="8">
        <f>B7*Assumptions!$B$12</f>
        <v>4000</v>
      </c>
      <c r="D49" s="24">
        <f t="shared" si="1"/>
        <v>4000</v>
      </c>
      <c r="E49" s="8" t="str">
        <f t="shared" si="0"/>
        <v/>
      </c>
      <c r="F49" s="2" t="s">
        <v>114</v>
      </c>
    </row>
    <row r="50" spans="1:6" x14ac:dyDescent="0.25">
      <c r="A50" t="s">
        <v>115</v>
      </c>
      <c r="B50" s="8"/>
      <c r="C50" s="8">
        <f>B7*Assumptions!$B$13</f>
        <v>2500</v>
      </c>
      <c r="D50" s="24">
        <f t="shared" si="1"/>
        <v>2500</v>
      </c>
      <c r="E50" s="8" t="str">
        <f t="shared" si="0"/>
        <v/>
      </c>
      <c r="F50" s="2" t="s">
        <v>116</v>
      </c>
    </row>
    <row r="51" spans="1:6" x14ac:dyDescent="0.25">
      <c r="A51" t="s">
        <v>117</v>
      </c>
      <c r="B51" s="8"/>
      <c r="C51" s="8">
        <f>B7*Assumptions!$B$14</f>
        <v>3000</v>
      </c>
      <c r="D51" s="24">
        <f t="shared" si="1"/>
        <v>3000</v>
      </c>
      <c r="E51" s="8" t="str">
        <f t="shared" si="0"/>
        <v/>
      </c>
      <c r="F51" s="2" t="s">
        <v>114</v>
      </c>
    </row>
    <row r="52" spans="1:6" x14ac:dyDescent="0.25">
      <c r="A52" s="20" t="s">
        <v>118</v>
      </c>
      <c r="B52" s="22">
        <f>B40-B22*B25</f>
        <v>107986.55808236025</v>
      </c>
      <c r="C52" s="22">
        <f>SUM(C44:C51)</f>
        <v>124445.016</v>
      </c>
      <c r="D52" s="22">
        <f>SUM(D44:D51)</f>
        <v>124445.016</v>
      </c>
      <c r="E52" s="22">
        <f t="shared" si="0"/>
        <v>16458.457917639753</v>
      </c>
      <c r="F52" s="2" t="s">
        <v>119</v>
      </c>
    </row>
    <row r="53" spans="1:6" x14ac:dyDescent="0.25">
      <c r="A53" t="s">
        <v>120</v>
      </c>
      <c r="B53" s="8">
        <f>IFERROR(B52/B7,"")</f>
        <v>10798.655808236024</v>
      </c>
      <c r="C53" s="8">
        <f>IFERROR(C52/B7,"")</f>
        <v>12444.5016</v>
      </c>
      <c r="D53" s="8">
        <f>IFERROR(D52/B7,"")</f>
        <v>12444.5016</v>
      </c>
    </row>
    <row r="54" spans="1:6" x14ac:dyDescent="0.25">
      <c r="A54" t="s">
        <v>121</v>
      </c>
      <c r="B54" s="17">
        <f>IFERROR(B52/B40,"")</f>
        <v>0.3626185567010311</v>
      </c>
      <c r="C54" s="17">
        <f>IFERROR(C52/C40,"")</f>
        <v>0.41945827751567749</v>
      </c>
      <c r="D54" s="17">
        <f>IF(C36&gt;0,IFERROR(D52/C40,""),"")</f>
        <v>0.41945827751567749</v>
      </c>
    </row>
    <row r="55" spans="1:6" x14ac:dyDescent="0.25">
      <c r="A55" s="20" t="s">
        <v>122</v>
      </c>
      <c r="B55" s="25" t="str">
        <f>IF(ISNUMBER(B52),IF(D52&gt;B52*(1+Assumptions!$B$24),"OM EXPENSES LIGHT","OM expenses reasonable"),"OM expenses not published")</f>
        <v>OM EXPENSES LIGHT</v>
      </c>
    </row>
    <row r="57" spans="1:6" x14ac:dyDescent="0.25">
      <c r="A57" s="12" t="s">
        <v>123</v>
      </c>
      <c r="B57" s="13"/>
      <c r="C57" s="13"/>
      <c r="D57" s="13"/>
      <c r="E57" s="13"/>
      <c r="F57" s="13"/>
    </row>
    <row r="58" spans="1:6" x14ac:dyDescent="0.25">
      <c r="A58" s="23"/>
      <c r="B58" s="23" t="s">
        <v>89</v>
      </c>
      <c r="C58" s="23" t="s">
        <v>90</v>
      </c>
      <c r="D58" s="23"/>
      <c r="E58" s="23"/>
      <c r="F58" s="23" t="s">
        <v>91</v>
      </c>
    </row>
    <row r="59" spans="1:6" x14ac:dyDescent="0.25">
      <c r="A59" s="20" t="s">
        <v>124</v>
      </c>
      <c r="B59" s="22">
        <f>B40-B52</f>
        <v>189810</v>
      </c>
      <c r="C59" s="22">
        <f>IF(C36&gt;0,C40-D52,"")</f>
        <v>172235.304</v>
      </c>
    </row>
    <row r="60" spans="1:6" x14ac:dyDescent="0.25">
      <c r="A60" s="20" t="s">
        <v>125</v>
      </c>
      <c r="B60" s="17">
        <f>IFERROR(B59/B22,"")</f>
        <v>3.7999999999999999E-2</v>
      </c>
      <c r="C60" s="17">
        <f>IF(C59="","",IFERROR(C59/B22,""))</f>
        <v>3.4481542342342346E-2</v>
      </c>
      <c r="F60" s="2" t="s">
        <v>126</v>
      </c>
    </row>
    <row r="61" spans="1:6" x14ac:dyDescent="0.25">
      <c r="A61" t="s">
        <v>127</v>
      </c>
      <c r="B61" s="18">
        <f>IFERROR(B22/B36,"")</f>
        <v>16.269999999999996</v>
      </c>
      <c r="C61" s="18">
        <f>IF(C36&gt;0,IFERROR(B22/C36,""),"")</f>
        <v>16.331214689265536</v>
      </c>
    </row>
    <row r="62" spans="1:6" x14ac:dyDescent="0.25">
      <c r="A62" t="s">
        <v>128</v>
      </c>
      <c r="B62" s="8">
        <f>IFERROR(B59/B7,"")</f>
        <v>18981</v>
      </c>
      <c r="C62" s="8">
        <f>IF(C59="","",IFERROR(C59/B7,""))</f>
        <v>17223.5304</v>
      </c>
    </row>
    <row r="64" spans="1:6" x14ac:dyDescent="0.25">
      <c r="A64" s="12" t="s">
        <v>129</v>
      </c>
      <c r="B64" s="13"/>
      <c r="C64" s="13"/>
      <c r="D64" s="13"/>
      <c r="E64" s="13"/>
      <c r="F64" s="13"/>
    </row>
    <row r="65" spans="1:2" x14ac:dyDescent="0.25">
      <c r="A65" t="s">
        <v>130</v>
      </c>
      <c r="B65" s="8">
        <f>IFERROR(B22*Assumptions!$B$20,"")</f>
        <v>2997000</v>
      </c>
    </row>
    <row r="66" spans="1:2" x14ac:dyDescent="0.25">
      <c r="A66" t="s">
        <v>131</v>
      </c>
      <c r="B66" s="8">
        <f>IF(C59="","",IFERROR(PV(Assumptions!$B$22/12,Assumptions!$B$23*12,-C59/Assumptions!$B$21/12),""))</f>
        <v>1864874.5872371758</v>
      </c>
    </row>
    <row r="67" spans="1:2" x14ac:dyDescent="0.25">
      <c r="A67" s="20" t="s">
        <v>132</v>
      </c>
      <c r="B67" s="8">
        <f>IFERROR(MIN(B65,B66),"")</f>
        <v>1864874.5872371758</v>
      </c>
    </row>
    <row r="68" spans="1:2" x14ac:dyDescent="0.25">
      <c r="A68" t="s">
        <v>133</v>
      </c>
      <c r="B68" s="8">
        <f>IFERROR(B22-B67,"")</f>
        <v>3130125.4127628244</v>
      </c>
    </row>
    <row r="69" spans="1:2" x14ac:dyDescent="0.25">
      <c r="A69" t="s">
        <v>134</v>
      </c>
      <c r="B69" s="8">
        <f>IFERROR(-PMT(Assumptions!$B$22/12,Assumptions!$B$23*12,B67)*12,"")</f>
        <v>137788.24319999959</v>
      </c>
    </row>
    <row r="70" spans="1:2" x14ac:dyDescent="0.25">
      <c r="A70" t="s">
        <v>135</v>
      </c>
      <c r="B70" s="18">
        <f>IFERROR(C59/B69,"")</f>
        <v>1.2500000000000038</v>
      </c>
    </row>
    <row r="71" spans="1:2" x14ac:dyDescent="0.25">
      <c r="A71" t="s">
        <v>136</v>
      </c>
      <c r="B71" s="8">
        <f>IFERROR(C59-B69,"")</f>
        <v>34447.060800000414</v>
      </c>
    </row>
    <row r="72" spans="1:2" x14ac:dyDescent="0.25">
      <c r="A72" t="s">
        <v>137</v>
      </c>
      <c r="B72" s="17">
        <f>IFERROR(B71/B68,"")</f>
        <v>1.100500978636364E-2</v>
      </c>
    </row>
    <row r="74" spans="1:2" x14ac:dyDescent="0.25">
      <c r="A74" s="2" t="s">
        <v>138</v>
      </c>
    </row>
  </sheetData>
  <hyperlinks>
    <hyperlink ref="A3" r:id="rId1" xr:uid="{85B97D39-7AF7-48B1-AFF9-B6B5D5D57857}"/>
  </hyperlinks>
  <printOptions horizontalCentered="1"/>
  <pageMargins left="0.27777777777777779" right="0.27777777777777779" top="0.34722222222222221" bottom="0.34722222222222221" header="0.5" footer="0.5"/>
  <pageSetup scale="59" fitToHeight="2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Assumptions</vt:lpstr>
      <vt:lpstr>46 1269 Havenhurst Dr</vt:lpstr>
      <vt:lpstr>'46 1269 Havenhurst Dr'!Print_Area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Niculete, Filip</dc:creator>
  <cp:lastModifiedBy>Niculete, Filip</cp:lastModifiedBy>
  <dcterms:created xsi:type="dcterms:W3CDTF">2026-09-17T18:58:25Z</dcterms:created>
  <dcterms:modified xsi:type="dcterms:W3CDTF">2026-09-17T18:58:28Z</dcterms:modified>
</cp:coreProperties>
</file>