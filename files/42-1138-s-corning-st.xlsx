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D71EA63-AB6D-4B58-8E7C-3338F0D5A9CD}" xr6:coauthVersionLast="47" xr6:coauthVersionMax="47" xr10:uidLastSave="{00000000-0000-0000-0000-000000000000}"/>
  <bookViews>
    <workbookView xWindow="-120" yWindow="-120" windowWidth="29040" windowHeight="15720" activeTab="1" xr2:uid="{8763E189-AEBF-4F08-9A29-11C001790516}"/>
  </bookViews>
  <sheets>
    <sheet name="Assumptions" sheetId="1" r:id="rId1"/>
    <sheet name="42 1138 S Corning St" sheetId="2" r:id="rId2"/>
  </sheets>
  <definedNames>
    <definedName name="_xlnm.Print_Area" localSheetId="1">'42 1138 S Corning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1" i="2"/>
  <c r="B56" i="2"/>
  <c r="B54" i="2"/>
  <c r="E53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B55" i="2" s="1"/>
  <c r="D33" i="2"/>
  <c r="C33" i="2"/>
  <c r="B33" i="2"/>
  <c r="D32" i="2"/>
  <c r="E32" i="2" s="1"/>
  <c r="D31" i="2"/>
  <c r="E31" i="2" s="1"/>
  <c r="D30" i="2"/>
  <c r="E30" i="2" s="1"/>
  <c r="E33" i="2" s="1"/>
  <c r="C37" i="2" s="1"/>
  <c r="B24" i="2"/>
  <c r="B23" i="2"/>
  <c r="C40" i="2" l="1"/>
  <c r="C39" i="2"/>
  <c r="C41" i="2" s="1"/>
  <c r="C47" i="2" s="1"/>
  <c r="D47" i="2" s="1"/>
  <c r="C62" i="2"/>
  <c r="D53" i="2"/>
  <c r="D54" i="2" s="1"/>
  <c r="D55" i="2" l="1"/>
  <c r="C60" i="2"/>
  <c r="C53" i="2"/>
  <c r="C61" i="2" l="1"/>
  <c r="B67" i="2"/>
  <c r="B68" i="2" s="1"/>
  <c r="C63" i="2"/>
  <c r="C55" i="2"/>
  <c r="C54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<sst xmlns="http://schemas.openxmlformats.org/spreadsheetml/2006/main" count="151" uniqueCount="142">
  <si>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</si>
  <si>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</si>
  <si>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</si>
  <si>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</si>
  <si>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</si>
  <si>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</si>
  <si>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</si>
  <si>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</si>
  <si>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</si>
  <si>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</si>
  <si>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</si>
  <si>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</si>
  <si>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</si>
  <si>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</si>
  <si>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</si>
  <si>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</si>
  <si>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</si>
  <si>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</si>
  <si>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</si>
  <si>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</si>
  <si>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</si>
  <si>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</si>
  <si>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</si>
  <si>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</si>
  <si>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</si>
  <si>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</si>
  <si>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</si>
  <si>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</si>
  <si>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</si>
  <si>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</si>
  <si>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</si>
  <si>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</si>
  <si>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</si>
  <si>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</si>
  <si>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</si>
  <si>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</si>
  <si>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</si>
  <si>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</si>
  <si>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</si>
  <si>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</si>
  <si>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</si>
  <si>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</si>
  <si>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</si>
  <si>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</si>
  <si>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</si>
  <si>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</si>
  <si>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</si>
  <si>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1138 S Corning St (Landmark Apts)</t>
  </si>
  <si>
    <t>Los Angeles, CA 90035  |  Pico-Robertson / Beverlywood</t>
  </si>
  <si>
    <t>LoopNet listing</t>
  </si>
  <si>
    <t>Data pulled 9/17/2026 from LoopNet public listing</t>
  </si>
  <si>
    <t>NOTE: UNDER CONTRACT per Filip 9/17/26 (confirm which Corning listing).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</si>
  <si>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</si>
  <si>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</si>
  <si>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</si>
  <si>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</si>
  <si>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</si>
  <si>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</si>
  <si>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</si>
  <si>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</si>
  <si>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</si>
  <si>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</si>
  <si>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</si>
  <si>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100%</t>
  </si>
  <si>
    <t>APN</t>
  </si>
  <si>
    <t>4332-029-019</t>
  </si>
  <si>
    <t>Assessed value (current)</t>
  </si>
  <si>
    <t>Listing broker(s)</t>
  </si>
  <si>
    <t>Janet Neman, Angelica Gotzev</t>
  </si>
  <si>
    <t>Date on market</t>
  </si>
  <si>
    <t>6/17/2026</t>
  </si>
  <si>
    <t>Listing last updated</t>
  </si>
  <si>
    <t>7/28/2026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</si>
  <si>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</si>
  <si>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</si>
  <si>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</si>
  <si>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</si>
  <si>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</si>
  <si>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</si>
  <si>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</si>
  <si>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</si>
  <si>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</si>
  <si>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</si>
  <si>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</si>
  <si>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</si>
  <si>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</si>
  <si>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(~900 SF)</t>
  </si>
  <si>
    <t>ESTIMATED (no rents, GRM or cap published) - verify with OM</t>
  </si>
  <si>
    <t>2 Bd / 2 Ba  (~1100 SF)</t>
  </si>
  <si>
    <t>3 Bd / 2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</si>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</sst>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41D438C-B1B1-42A5-9CBE-13CC8F1FD8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38-S-Corning-St-Los-Angeles-CA/409619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732A-41F9-4AA5-9DE2-95664EF76045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158B-1825-494D-8805-843AB1B4709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27</v>
      </c>
    </row>
    <row r="8" spans="1:3" x14ac:dyDescent="0.25">
      <c r="A8" t="s">
        <v>54</v>
      </c>
      <c r="B8" s="15">
        <v>29942</v>
      </c>
    </row>
    <row r="9" spans="1:3" x14ac:dyDescent="0.25">
      <c r="A9" t="s">
        <v>55</v>
      </c>
      <c r="B9" s="15">
        <v>20038</v>
      </c>
    </row>
    <row r="10" spans="1:3" x14ac:dyDescent="0.25">
      <c r="A10" t="s">
        <v>56</v>
      </c>
      <c r="B10" s="16">
        <v>0.46</v>
      </c>
    </row>
    <row r="11" spans="1:3" x14ac:dyDescent="0.25">
      <c r="A11" t="s">
        <v>57</v>
      </c>
      <c r="B11">
        <v>1965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11896000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11995000</v>
      </c>
    </row>
    <row r="23" spans="1:6" x14ac:dyDescent="0.25">
      <c r="A23" t="s">
        <v>75</v>
      </c>
      <c r="B23" s="8">
        <f>IFERROR(B22/B7,"")</f>
        <v>444259.25925925927</v>
      </c>
    </row>
    <row r="24" spans="1:6" x14ac:dyDescent="0.25">
      <c r="A24" t="s">
        <v>76</v>
      </c>
      <c r="B24" s="17">
        <f>IFERROR(B22/B8,"")</f>
        <v>400.60784182753321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12</v>
      </c>
      <c r="C30" s="21">
        <v>2200</v>
      </c>
      <c r="D30" s="8">
        <f>B30*C30</f>
        <v>26400</v>
      </c>
      <c r="E30" s="8">
        <f>D30*12</f>
        <v>316800</v>
      </c>
      <c r="F30" s="2" t="s">
        <v>87</v>
      </c>
    </row>
    <row r="31" spans="1:6" x14ac:dyDescent="0.25">
      <c r="A31" t="s">
        <v>88</v>
      </c>
      <c r="B31" s="15">
        <v>14</v>
      </c>
      <c r="C31" s="21">
        <v>2900</v>
      </c>
      <c r="D31" s="8">
        <f>B31*C31</f>
        <v>40600</v>
      </c>
      <c r="E31" s="8">
        <f>D31*12</f>
        <v>487200</v>
      </c>
      <c r="F31" s="2" t="s">
        <v>87</v>
      </c>
    </row>
    <row r="32" spans="1:6" x14ac:dyDescent="0.25">
      <c r="A32" t="s">
        <v>89</v>
      </c>
      <c r="B32" s="15">
        <v>1</v>
      </c>
      <c r="C32" s="21">
        <v>3800</v>
      </c>
      <c r="D32" s="8">
        <f>B32*C32</f>
        <v>3800</v>
      </c>
      <c r="E32" s="8">
        <f>D32*12</f>
        <v>45600</v>
      </c>
      <c r="F32" s="2" t="s">
        <v>87</v>
      </c>
    </row>
    <row r="33" spans="1:6" x14ac:dyDescent="0.25">
      <c r="A33" s="22" t="s">
        <v>90</v>
      </c>
      <c r="B33" s="23">
        <f>SUM(B30:B32)</f>
        <v>27</v>
      </c>
      <c r="C33" s="24">
        <f>IFERROR(D33/B33,"")</f>
        <v>2622.2222222222222</v>
      </c>
      <c r="D33" s="24">
        <f>SUM(D30:D32)</f>
        <v>70800</v>
      </c>
      <c r="E33" s="24">
        <f>SUM(E30:E32)</f>
        <v>849600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5"/>
      <c r="B36" s="25" t="s">
        <v>92</v>
      </c>
      <c r="C36" s="25" t="s">
        <v>93</v>
      </c>
      <c r="D36" s="25"/>
      <c r="E36" s="25"/>
      <c r="F36" s="25" t="s">
        <v>94</v>
      </c>
    </row>
    <row r="37" spans="1:6" x14ac:dyDescent="0.25">
      <c r="A37" t="s">
        <v>95</v>
      </c>
      <c r="B37" s="8"/>
      <c r="C37" s="8">
        <f>E33</f>
        <v>849600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0</v>
      </c>
      <c r="C39" s="8">
        <f>C37+C38</f>
        <v>849600</v>
      </c>
    </row>
    <row r="40" spans="1:6" x14ac:dyDescent="0.25">
      <c r="A40" t="s">
        <v>99</v>
      </c>
      <c r="B40" s="8">
        <f>-B37*0.03</f>
        <v>0</v>
      </c>
      <c r="C40" s="8">
        <f>-C37*Assumptions!$B$3</f>
        <v>-25488</v>
      </c>
      <c r="F40" s="2" t="s">
        <v>100</v>
      </c>
    </row>
    <row r="41" spans="1:6" x14ac:dyDescent="0.25">
      <c r="A41" s="22" t="s">
        <v>101</v>
      </c>
      <c r="B41" s="24">
        <f>B39+B40</f>
        <v>0</v>
      </c>
      <c r="C41" s="24">
        <f>C39+C40</f>
        <v>824112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5" t="s">
        <v>103</v>
      </c>
      <c r="B44" s="25" t="s">
        <v>92</v>
      </c>
      <c r="C44" s="25" t="s">
        <v>104</v>
      </c>
      <c r="D44" s="25" t="s">
        <v>93</v>
      </c>
      <c r="E44" s="25" t="s">
        <v>105</v>
      </c>
      <c r="F44" s="25" t="s">
        <v>94</v>
      </c>
    </row>
    <row r="45" spans="1:6" x14ac:dyDescent="0.25">
      <c r="A45" t="s">
        <v>106</v>
      </c>
      <c r="B45" s="8"/>
      <c r="C45" s="8">
        <f>B22*Assumptions!$B$15</f>
        <v>149937.5</v>
      </c>
      <c r="D45" s="26">
        <f>C45</f>
        <v>149937.5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35342</v>
      </c>
      <c r="D46" s="26">
        <f t="shared" ref="D46:D52" si="1">IF(ISNUMBER(B46),MAX(B46,C46),C46)</f>
        <v>35342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41205.600000000006</v>
      </c>
      <c r="D47" s="26">
        <f t="shared" si="1"/>
        <v>41205.600000000006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B7*Assumptions!$B$7</f>
        <v>32400</v>
      </c>
      <c r="D48" s="26">
        <f t="shared" si="1"/>
        <v>32400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B7*Assumptions!$B$9</f>
        <v>40500</v>
      </c>
      <c r="D49" s="26">
        <f t="shared" si="1"/>
        <v>40500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10800</v>
      </c>
      <c r="D50" s="26">
        <f t="shared" si="1"/>
        <v>10800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6750</v>
      </c>
      <c r="D51" s="26">
        <f t="shared" si="1"/>
        <v>6750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8100</v>
      </c>
      <c r="D52" s="26">
        <f t="shared" si="1"/>
        <v>8100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2"/>
      <c r="C53" s="24">
        <f>SUM(C45:C52)</f>
        <v>325035.09999999998</v>
      </c>
      <c r="D53" s="24">
        <f>SUM(D45:D52)</f>
        <v>325035.09999999998</v>
      </c>
      <c r="E53" s="24" t="str">
        <f t="shared" si="0"/>
        <v/>
      </c>
      <c r="F53" s="2" t="s">
        <v>122</v>
      </c>
    </row>
    <row r="54" spans="1:6" x14ac:dyDescent="0.25">
      <c r="A54" t="s">
        <v>123</v>
      </c>
      <c r="B54" s="8">
        <f>IFERROR(B53/B7,"")</f>
        <v>0</v>
      </c>
      <c r="C54" s="8">
        <f>IFERROR(C53/B7,"")</f>
        <v>12038.337037037036</v>
      </c>
      <c r="D54" s="8">
        <f>IFERROR(D53/B7,"")</f>
        <v>12038.337037037036</v>
      </c>
    </row>
    <row r="55" spans="1:6" x14ac:dyDescent="0.25">
      <c r="A55" t="s">
        <v>124</v>
      </c>
      <c r="B55" s="18" t="str">
        <f>IFERROR(B53/B41,"")</f>
        <v/>
      </c>
      <c r="C55" s="18">
        <f>IFERROR(C53/C41,"")</f>
        <v>0.39440646416991865</v>
      </c>
      <c r="D55" s="18">
        <f>IF(C37&gt;0,IFERROR(D53/C41,""),"")</f>
        <v>0.39440646416991865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5"/>
      <c r="B59" s="25" t="s">
        <v>92</v>
      </c>
      <c r="C59" s="25" t="s">
        <v>93</v>
      </c>
      <c r="D59" s="25"/>
      <c r="E59" s="25"/>
      <c r="F59" s="25" t="s">
        <v>94</v>
      </c>
    </row>
    <row r="60" spans="1:6" x14ac:dyDescent="0.25">
      <c r="A60" s="22" t="s">
        <v>127</v>
      </c>
      <c r="B60" s="22"/>
      <c r="C60" s="24">
        <f>IF(C37&gt;0,C41-D53,"")</f>
        <v>499076.9</v>
      </c>
    </row>
    <row r="61" spans="1:6" x14ac:dyDescent="0.25">
      <c r="A61" s="22" t="s">
        <v>128</v>
      </c>
      <c r="B61" s="18">
        <f>IFERROR(B60/B22,"")</f>
        <v>0</v>
      </c>
      <c r="C61" s="18">
        <f>IF(C60="","",IFERROR(C60/B22,""))</f>
        <v>4.1607077949145477E-2</v>
      </c>
      <c r="F61" s="2" t="s">
        <v>129</v>
      </c>
    </row>
    <row r="62" spans="1:6" x14ac:dyDescent="0.25">
      <c r="A62" t="s">
        <v>130</v>
      </c>
      <c r="B62" s="19" t="str">
        <f>IFERROR(B22/B37,"")</f>
        <v/>
      </c>
      <c r="C62" s="19">
        <f>IF(C37&gt;0,IFERROR(B22/C37,""),"")</f>
        <v>14.118408662900189</v>
      </c>
    </row>
    <row r="63" spans="1:6" x14ac:dyDescent="0.25">
      <c r="A63" t="s">
        <v>131</v>
      </c>
      <c r="B63" s="8">
        <f>IFERROR(B60/B7,"")</f>
        <v>0</v>
      </c>
      <c r="C63" s="8">
        <f>IF(C60="","",IFERROR(C60/B7,""))</f>
        <v>18484.329629629632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7197000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5403745.958419241</v>
      </c>
    </row>
    <row r="68" spans="1:6" x14ac:dyDescent="0.25">
      <c r="A68" s="22" t="s">
        <v>135</v>
      </c>
      <c r="B68" s="8">
        <f>IFERROR(MIN(B66,B67),"")</f>
        <v>5403745.958419241</v>
      </c>
    </row>
    <row r="69" spans="1:6" x14ac:dyDescent="0.25">
      <c r="A69" t="s">
        <v>136</v>
      </c>
      <c r="B69" s="8">
        <f>IFERROR(B22-B68,"")</f>
        <v>6591254.041580759</v>
      </c>
    </row>
    <row r="70" spans="1:6" x14ac:dyDescent="0.25">
      <c r="A70" t="s">
        <v>137</v>
      </c>
      <c r="B70" s="8">
        <f>IFERROR(-PMT(Assumptions!$B$22/12,Assumptions!$B$23*12,B68)*12,"")</f>
        <v>399261.5199999988</v>
      </c>
    </row>
    <row r="71" spans="1:6" x14ac:dyDescent="0.25">
      <c r="A71" t="s">
        <v>138</v>
      </c>
      <c r="B71" s="19">
        <f>IFERROR(C60/B70,"")</f>
        <v>1.2500000000000038</v>
      </c>
    </row>
    <row r="72" spans="1:6" x14ac:dyDescent="0.25">
      <c r="A72" t="s">
        <v>139</v>
      </c>
      <c r="B72" s="8">
        <f>IFERROR(C60-B70,"")</f>
        <v>99815.380000001227</v>
      </c>
    </row>
    <row r="73" spans="1:6" x14ac:dyDescent="0.25">
      <c r="A73" t="s">
        <v>140</v>
      </c>
      <c r="B73" s="18">
        <f>IFERROR(B72/B69,"")</f>
        <v>1.5143609906448519E-2</v>
      </c>
    </row>
    <row r="75" spans="1:6" x14ac:dyDescent="0.25">
      <c r="A75" s="2" t="s">
        <v>141</v>
      </c>
    </row>
  </sheetData>
  <hyperlinks>
    <hyperlink ref="A3" r:id="rId1" xr:uid="{9ADC1001-87F3-41ED-92B0-20D94949E1F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42 1138 S Corning St</vt:lpstr>
      <vt:lpstr>'42 1138 S Corning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2026-09-17T18:58:10Z</dcterms:created>
  <dcterms:modified xsi:type="dcterms:W3CDTF">2026-09-17T18:58:13Z</dcterms:modified>
</cp:coreProperties>
</file>