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364FEBC-46A4-4622-A57C-7874BAE1AAD5}" xr6:coauthVersionLast="47" xr6:coauthVersionMax="47" xr10:uidLastSave="{00000000-0000-0000-0000-000000000000}"/>
  <bookViews>
    <workbookView xWindow="-120" yWindow="-120" windowWidth="29040" windowHeight="15720" activeTab="1" xr2:uid="{4E0556D9-C832-4CC1-9AE7-D666BD99F08E}"/>
  </bookViews>
  <sheets>
    <sheet name="Assumptions" sheetId="1" r:id="rId1"/>
    <sheet name="01 823 5th St" sheetId="2" r:id="rId2"/>
  </sheets>
  <definedNames>
    <definedName name="_xlnm.Print_Area" localSheetId="1">'01 823 5th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B55" i="2"/>
  <c r="B54" i="2"/>
  <c r="D53" i="2"/>
  <c r="E53" i="2" s="1"/>
  <c r="C53" i="2"/>
  <c r="E52" i="2"/>
  <c r="C52" i="2"/>
  <c r="D52" i="2" s="1"/>
  <c r="E51" i="2"/>
  <c r="D51" i="2"/>
  <c r="C51" i="2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D45" i="2"/>
  <c r="C45" i="2"/>
  <c r="B40" i="2"/>
  <c r="B39" i="2"/>
  <c r="B41" i="2" s="1"/>
  <c r="B33" i="2"/>
  <c r="E32" i="2"/>
  <c r="D32" i="2"/>
  <c r="D31" i="2"/>
  <c r="E31" i="2" s="1"/>
  <c r="D30" i="2"/>
  <c r="E30" i="2" s="1"/>
  <c r="E33" i="2" s="1"/>
  <c r="C37" i="2" s="1"/>
  <c r="B24" i="2"/>
  <c r="B23" i="2"/>
  <c r="C39" i="2" l="1"/>
  <c r="C63" i="2"/>
  <c r="C40" i="2"/>
  <c r="B61" i="2"/>
  <c r="B56" i="2"/>
  <c r="E45" i="2"/>
  <c r="D33" i="2"/>
  <c r="C33" i="2" s="1"/>
  <c r="B62" i="2" l="1"/>
  <c r="B64" i="2"/>
  <c r="C41" i="2"/>
  <c r="C47" i="2" l="1"/>
  <c r="D47" i="2" l="1"/>
  <c r="D54" i="2" s="1"/>
  <c r="C54" i="2"/>
  <c r="C55" i="2" l="1"/>
  <c r="C56" i="2"/>
  <c r="B57" i="2"/>
  <c r="D55" i="2"/>
  <c r="E54" i="2"/>
  <c r="D56" i="2"/>
  <c r="C61" i="2"/>
  <c r="C62" i="2" l="1"/>
  <c r="B68" i="2"/>
  <c r="B69" i="2" s="1"/>
  <c r="C64" i="2"/>
  <c r="B70" i="2" l="1"/>
  <c r="B71" i="2"/>
  <c r="B73" i="2" l="1"/>
  <c r="B74" i="2" s="1"/>
  <c r="B72" i="2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<sst xmlns="http://schemas.openxmlformats.org/spreadsheetml/2006/main" count="152" uniqueCount="142">
  <si>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</si>
  <si>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</si>
  <si>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</si>
  <si>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</si>
  <si>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</si>
  <si>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</si>
  <si>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</si>
  <si>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</si>
  <si>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</si>
  <si>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</si>
  <si>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</si>
  <si>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</si>
  <si>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</si>
  <si>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</si>
  <si>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</si>
  <si>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</si>
  <si>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</si>
  <si>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</si>
  <si>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</si>
  <si>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</si>
  <si>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</si>
  <si>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</si>
  <si>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</si>
  <si>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</si>
  <si>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</si>
  <si>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</si>
  <si>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</si>
  <si>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</si>
  <si>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</si>
  <si>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</si>
  <si>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</si>
  <si>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</si>
  <si>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</si>
  <si>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</si>
  <si>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</si>
  <si>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</si>
  <si>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</si>
  <si>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</si>
  <si>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</si>
  <si>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</si>
  <si>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</si>
  <si>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</si>
  <si>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</si>
  <si>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</si>
  <si>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</si>
  <si>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</si>
  <si>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</si>
  <si>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823 5th St</t>
  </si>
  <si>
    <t>Santa Monica, CA 90403  |  Santa Monica</t>
  </si>
  <si>
    <t>LoopNet listing</t>
  </si>
  <si>
    <t>Data pulled 9/17/2026 from LoopNet public listing + LAAA OM extraction (July 2026 intake)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</si>
  <si>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</si>
  <si>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</si>
  <si>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</si>
  <si>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</si>
  <si>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</si>
  <si>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</si>
  <si>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</si>
  <si>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</si>
  <si>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</si>
  <si>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R3, Santa Monica</t>
  </si>
  <si>
    <t>Occupancy per listing</t>
  </si>
  <si>
    <t>100%</t>
  </si>
  <si>
    <t>APN</t>
  </si>
  <si>
    <t>4292-009-022</t>
  </si>
  <si>
    <t>Assessed value (current)</t>
  </si>
  <si>
    <t>Listing broker(s)</t>
  </si>
  <si>
    <t>William Dawson</t>
  </si>
  <si>
    <t>Date on market</t>
  </si>
  <si>
    <t>1/7/2026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</si>
  <si>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</si>
  <si>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</si>
  <si>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</si>
  <si>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</si>
  <si>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</si>
  <si>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</si>
  <si>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</si>
  <si>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</si>
  <si>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</si>
  <si>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</si>
  <si>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</si>
  <si>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</si>
  <si>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</si>
  <si>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</si>
  <si>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</si>
  <si>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  (~900 SF)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</si>
  <si>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</si>
  <si>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</si>
  <si>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</si>
  <si>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</si>
  <si>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</si>
  <si>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</si>
  <si>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</si>
  <si>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</si>
  <si>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</si>
  <si>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</si>
  <si>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</si>
  <si>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</si>
  <si>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</si>
  <si>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</si>
  <si>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</si>
  <si>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</si>
  <si>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</si>
  <si>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</si>
  <si>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</si>
  <si>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</si>
  <si>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</si>
  <si>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</si>
  <si>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</si>
  <si>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</si>
  <si>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</si>
  <si>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</si>
  <si>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</si>
  <si>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</si>
  <si>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</si>
  <si>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</si>
  <si>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</si>
  <si>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</si>
  <si>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</si>
  <si>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Unallocated / other OM expense items</t>
  </si>
  <si>
    <t>OM total claimed minus lines mapped above (OM did not itemize; LAAA benchmark lines already cover these costs)</t>
  </si>
  <si>
    <t>Total operating expenses</t>
  </si>
  <si>
    <t>OM claimed total 106,350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</si>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</sst>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356E77B-4E54-44E0-94B4-010974F1206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823-5th-St-Santa-Monica-CA/390025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E4ACB-7E98-4C9C-8D96-723D0AEBBCA0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2705-D177-4F7D-85C2-80D8CEFF84E7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10523</v>
      </c>
    </row>
    <row r="9" spans="1:3" x14ac:dyDescent="0.25">
      <c r="A9" t="s">
        <v>54</v>
      </c>
      <c r="B9" s="14">
        <v>7405</v>
      </c>
    </row>
    <row r="10" spans="1:3" x14ac:dyDescent="0.25">
      <c r="A10" t="s">
        <v>55</v>
      </c>
      <c r="B10" s="15">
        <v>0.17</v>
      </c>
    </row>
    <row r="11" spans="1:3" x14ac:dyDescent="0.25">
      <c r="A11" t="s">
        <v>56</v>
      </c>
      <c r="B11">
        <v>1958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3582053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480000</v>
      </c>
    </row>
    <row r="24" spans="1:6" x14ac:dyDescent="0.25">
      <c r="A24" t="s">
        <v>75</v>
      </c>
      <c r="B24" s="16">
        <f>IFERROR(B22/B8,"")</f>
        <v>456.14368526085718</v>
      </c>
    </row>
    <row r="25" spans="1:6" x14ac:dyDescent="0.25">
      <c r="A25" t="s">
        <v>76</v>
      </c>
      <c r="B25" s="17">
        <v>0.04</v>
      </c>
    </row>
    <row r="26" spans="1:6" x14ac:dyDescent="0.25">
      <c r="A26" t="s">
        <v>77</v>
      </c>
      <c r="B26" s="18">
        <v>16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6</v>
      </c>
      <c r="C30" s="20">
        <v>2860</v>
      </c>
      <c r="D30" s="8">
        <f>B30*C30</f>
        <v>17160</v>
      </c>
      <c r="E30" s="8">
        <f>D30*12</f>
        <v>205920</v>
      </c>
      <c r="F30" s="2" t="s">
        <v>86</v>
      </c>
    </row>
    <row r="31" spans="1:6" x14ac:dyDescent="0.25">
      <c r="A31" t="s">
        <v>87</v>
      </c>
      <c r="B31" s="14">
        <v>3</v>
      </c>
      <c r="C31" s="20">
        <v>2119</v>
      </c>
      <c r="D31" s="8">
        <f>B31*C31</f>
        <v>6357</v>
      </c>
      <c r="E31" s="8">
        <f>D31*12</f>
        <v>76284</v>
      </c>
      <c r="F31" s="2" t="s">
        <v>86</v>
      </c>
    </row>
    <row r="32" spans="1:6" x14ac:dyDescent="0.25">
      <c r="A32" t="s">
        <v>34</v>
      </c>
      <c r="B32" s="14">
        <v>1</v>
      </c>
      <c r="C32" s="20">
        <v>1483</v>
      </c>
      <c r="D32" s="8">
        <f>B32*C32</f>
        <v>1483</v>
      </c>
      <c r="E32" s="8">
        <f>D32*12</f>
        <v>17796</v>
      </c>
      <c r="F32" s="2" t="s">
        <v>86</v>
      </c>
    </row>
    <row r="33" spans="1:6" x14ac:dyDescent="0.25">
      <c r="A33" s="21" t="s">
        <v>88</v>
      </c>
      <c r="B33" s="22">
        <f>SUM(B30:B32)</f>
        <v>10</v>
      </c>
      <c r="C33" s="23">
        <f>IFERROR(D33/B33,"")</f>
        <v>2500</v>
      </c>
      <c r="D33" s="23">
        <f>SUM(D30:D32)</f>
        <v>25000</v>
      </c>
      <c r="E33" s="23">
        <f>SUM(E30:E32)</f>
        <v>300000</v>
      </c>
    </row>
    <row r="35" spans="1:6" x14ac:dyDescent="0.25">
      <c r="A35" s="12" t="s">
        <v>89</v>
      </c>
      <c r="B35" s="13"/>
      <c r="C35" s="13"/>
      <c r="D35" s="13"/>
      <c r="E35" s="13"/>
      <c r="F35" s="13"/>
    </row>
    <row r="36" spans="1:6" x14ac:dyDescent="0.25">
      <c r="A36" s="24"/>
      <c r="B36" s="24" t="s">
        <v>90</v>
      </c>
      <c r="C36" s="24" t="s">
        <v>91</v>
      </c>
      <c r="D36" s="24"/>
      <c r="E36" s="24"/>
      <c r="F36" s="24" t="s">
        <v>92</v>
      </c>
    </row>
    <row r="37" spans="1:6" x14ac:dyDescent="0.25">
      <c r="A37" t="s">
        <v>93</v>
      </c>
      <c r="B37" s="8">
        <v>306216</v>
      </c>
      <c r="C37" s="8">
        <f>E33</f>
        <v>300000</v>
      </c>
      <c r="F37" s="2" t="s">
        <v>94</v>
      </c>
    </row>
    <row r="38" spans="1:6" x14ac:dyDescent="0.25">
      <c r="A38" t="s">
        <v>95</v>
      </c>
      <c r="B38" s="8">
        <v>0</v>
      </c>
      <c r="C38" s="4">
        <v>0</v>
      </c>
    </row>
    <row r="39" spans="1:6" x14ac:dyDescent="0.25">
      <c r="A39" s="21" t="s">
        <v>96</v>
      </c>
      <c r="B39" s="8">
        <f>B37+B38</f>
        <v>306216</v>
      </c>
      <c r="C39" s="8">
        <f>C37+C38</f>
        <v>300000</v>
      </c>
    </row>
    <row r="40" spans="1:6" x14ac:dyDescent="0.25">
      <c r="A40" t="s">
        <v>97</v>
      </c>
      <c r="B40" s="8">
        <f>-B37*0.03</f>
        <v>-9186.48</v>
      </c>
      <c r="C40" s="8">
        <f>-C37*Assumptions!$B$3</f>
        <v>-9000</v>
      </c>
      <c r="F40" s="2" t="s">
        <v>98</v>
      </c>
    </row>
    <row r="41" spans="1:6" x14ac:dyDescent="0.25">
      <c r="A41" s="21" t="s">
        <v>99</v>
      </c>
      <c r="B41" s="23">
        <f>B39+B40</f>
        <v>297029.52</v>
      </c>
      <c r="C41" s="23">
        <f>C39+C40</f>
        <v>291000</v>
      </c>
    </row>
    <row r="43" spans="1:6" x14ac:dyDescent="0.25">
      <c r="A43" s="12" t="s">
        <v>100</v>
      </c>
      <c r="B43" s="13"/>
      <c r="C43" s="13"/>
      <c r="D43" s="13"/>
      <c r="E43" s="13"/>
      <c r="F43" s="13"/>
    </row>
    <row r="44" spans="1:6" x14ac:dyDescent="0.25">
      <c r="A44" s="24" t="s">
        <v>101</v>
      </c>
      <c r="B44" s="24" t="s">
        <v>90</v>
      </c>
      <c r="C44" s="24" t="s">
        <v>102</v>
      </c>
      <c r="D44" s="24" t="s">
        <v>91</v>
      </c>
      <c r="E44" s="24" t="s">
        <v>103</v>
      </c>
      <c r="F44" s="24" t="s">
        <v>92</v>
      </c>
    </row>
    <row r="45" spans="1:6" x14ac:dyDescent="0.25">
      <c r="A45" t="s">
        <v>104</v>
      </c>
      <c r="B45" s="8">
        <v>57500</v>
      </c>
      <c r="C45" s="8">
        <f>B22*Assumptions!$B$16</f>
        <v>55200</v>
      </c>
      <c r="D45" s="25">
        <f>C45</f>
        <v>55200</v>
      </c>
      <c r="E45" s="8">
        <f t="shared" ref="E45:E54" si="0">IF(ISNUMBER(B45),D45-B45,"")</f>
        <v>-2300</v>
      </c>
      <c r="F45" s="2" t="s">
        <v>105</v>
      </c>
    </row>
    <row r="46" spans="1:6" x14ac:dyDescent="0.25">
      <c r="A46" t="s">
        <v>106</v>
      </c>
      <c r="B46" s="8"/>
      <c r="C46" s="8">
        <f>B7*Assumptions!$B$5+B8*Assumptions!$B$6</f>
        <v>12523</v>
      </c>
      <c r="D46" s="25">
        <f t="shared" ref="D46:D52" si="1">IF(ISNUMBER(B46),MAX(B46,C46),C46)</f>
        <v>12523</v>
      </c>
      <c r="E46" s="8" t="str">
        <f t="shared" si="0"/>
        <v/>
      </c>
      <c r="F46" s="2" t="s">
        <v>107</v>
      </c>
    </row>
    <row r="47" spans="1:6" x14ac:dyDescent="0.25">
      <c r="A47" t="s">
        <v>108</v>
      </c>
      <c r="B47" s="8"/>
      <c r="C47" s="8">
        <f>C41*Assumptions!$B$4</f>
        <v>14550</v>
      </c>
      <c r="D47" s="25">
        <f t="shared" si="1"/>
        <v>14550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B7*Assumptions!$B$7</f>
        <v>12000</v>
      </c>
      <c r="D48" s="25">
        <f t="shared" si="1"/>
        <v>12000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B7*Assumptions!$B$10</f>
        <v>18000</v>
      </c>
      <c r="D49" s="25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B7*Assumptions!$B$12</f>
        <v>4000</v>
      </c>
      <c r="D50" s="25">
        <f t="shared" si="1"/>
        <v>4000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B7*Assumptions!$B$13</f>
        <v>2500</v>
      </c>
      <c r="D51" s="25">
        <f t="shared" si="1"/>
        <v>2500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B7*Assumptions!$B$14</f>
        <v>3000</v>
      </c>
      <c r="D52" s="25">
        <f t="shared" si="1"/>
        <v>3000</v>
      </c>
      <c r="E52" s="8" t="str">
        <f t="shared" si="0"/>
        <v/>
      </c>
      <c r="F52" s="2" t="s">
        <v>115</v>
      </c>
    </row>
    <row r="53" spans="1:6" x14ac:dyDescent="0.25">
      <c r="A53" t="s">
        <v>119</v>
      </c>
      <c r="B53" s="8">
        <v>48850</v>
      </c>
      <c r="C53" s="8">
        <f>0</f>
        <v>0</v>
      </c>
      <c r="D53" s="25">
        <f>C53</f>
        <v>0</v>
      </c>
      <c r="E53" s="8">
        <f t="shared" si="0"/>
        <v>-48850</v>
      </c>
      <c r="F53" s="2" t="s">
        <v>120</v>
      </c>
    </row>
    <row r="54" spans="1:6" x14ac:dyDescent="0.25">
      <c r="A54" s="21" t="s">
        <v>121</v>
      </c>
      <c r="B54" s="23">
        <f>SUM(B45:B53)</f>
        <v>106350</v>
      </c>
      <c r="C54" s="23">
        <f>SUM(C45:C53)</f>
        <v>121773</v>
      </c>
      <c r="D54" s="23">
        <f>SUM(D45:D53)</f>
        <v>121773</v>
      </c>
      <c r="E54" s="23">
        <f t="shared" si="0"/>
        <v>15423</v>
      </c>
      <c r="F54" s="2" t="s">
        <v>122</v>
      </c>
    </row>
    <row r="55" spans="1:6" x14ac:dyDescent="0.25">
      <c r="A55" t="s">
        <v>123</v>
      </c>
      <c r="B55" s="8">
        <f>IFERROR(B54/B7,"")</f>
        <v>10635</v>
      </c>
      <c r="C55" s="8">
        <f>IFERROR(C54/B7,"")</f>
        <v>12177.3</v>
      </c>
      <c r="D55" s="8">
        <f>IFERROR(D54/B7,"")</f>
        <v>12177.3</v>
      </c>
    </row>
    <row r="56" spans="1:6" x14ac:dyDescent="0.25">
      <c r="A56" t="s">
        <v>124</v>
      </c>
      <c r="B56" s="17">
        <f>IFERROR(B54/B41,"")</f>
        <v>0.35804522055585586</v>
      </c>
      <c r="C56" s="17">
        <f>IFERROR(C54/C41,"")</f>
        <v>0.41846391752577322</v>
      </c>
      <c r="D56" s="17">
        <f>IF(C37&gt;0,IFERROR(D54/C41,""),"")</f>
        <v>0.41846391752577322</v>
      </c>
    </row>
    <row r="57" spans="1:6" x14ac:dyDescent="0.25">
      <c r="A57" s="21" t="s">
        <v>125</v>
      </c>
      <c r="B57" s="26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2" t="s">
        <v>126</v>
      </c>
      <c r="B59" s="13"/>
      <c r="C59" s="13"/>
      <c r="D59" s="13"/>
      <c r="E59" s="13"/>
      <c r="F59" s="13"/>
    </row>
    <row r="60" spans="1:6" x14ac:dyDescent="0.25">
      <c r="A60" s="24"/>
      <c r="B60" s="24" t="s">
        <v>90</v>
      </c>
      <c r="C60" s="24" t="s">
        <v>91</v>
      </c>
      <c r="D60" s="24"/>
      <c r="E60" s="24"/>
      <c r="F60" s="24" t="s">
        <v>92</v>
      </c>
    </row>
    <row r="61" spans="1:6" x14ac:dyDescent="0.25">
      <c r="A61" s="21" t="s">
        <v>127</v>
      </c>
      <c r="B61" s="23">
        <f>B41-B54</f>
        <v>190679.52000000002</v>
      </c>
      <c r="C61" s="23">
        <f>IF(C37&gt;0,C41-D54,"")</f>
        <v>169227</v>
      </c>
    </row>
    <row r="62" spans="1:6" x14ac:dyDescent="0.25">
      <c r="A62" s="21" t="s">
        <v>128</v>
      </c>
      <c r="B62" s="17">
        <f>IFERROR(B61/B22,"")</f>
        <v>3.97249E-2</v>
      </c>
      <c r="C62" s="17">
        <f>IF(C61="","",IFERROR(C61/B22,""))</f>
        <v>3.5255624999999999E-2</v>
      </c>
      <c r="F62" s="2" t="s">
        <v>129</v>
      </c>
    </row>
    <row r="63" spans="1:6" x14ac:dyDescent="0.25">
      <c r="A63" t="s">
        <v>130</v>
      </c>
      <c r="B63" s="18">
        <f>IFERROR(B22/B37,"")</f>
        <v>15.675209655929148</v>
      </c>
      <c r="C63" s="18">
        <f>IF(C37&gt;0,IFERROR(B22/C37,""),"")</f>
        <v>16</v>
      </c>
    </row>
    <row r="64" spans="1:6" x14ac:dyDescent="0.25">
      <c r="A64" t="s">
        <v>131</v>
      </c>
      <c r="B64" s="8">
        <f>IFERROR(B61/B7,"")</f>
        <v>19067.952000000001</v>
      </c>
      <c r="C64" s="8">
        <f>IF(C61="","",IFERROR(C61/B7,""))</f>
        <v>16922.7</v>
      </c>
    </row>
    <row r="66" spans="1:6" x14ac:dyDescent="0.25">
      <c r="A66" s="12" t="s">
        <v>132</v>
      </c>
      <c r="B66" s="13"/>
      <c r="C66" s="13"/>
      <c r="D66" s="13"/>
      <c r="E66" s="13"/>
      <c r="F66" s="13"/>
    </row>
    <row r="67" spans="1:6" x14ac:dyDescent="0.25">
      <c r="A67" t="s">
        <v>133</v>
      </c>
      <c r="B67" s="8">
        <f>IFERROR(B22*Assumptions!$B$20,"")</f>
        <v>2880000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1832302.2309896788</v>
      </c>
    </row>
    <row r="69" spans="1:6" x14ac:dyDescent="0.25">
      <c r="A69" s="21" t="s">
        <v>135</v>
      </c>
      <c r="B69" s="8">
        <f>IFERROR(MIN(B67,B68),"")</f>
        <v>1832302.2309896788</v>
      </c>
    </row>
    <row r="70" spans="1:6" x14ac:dyDescent="0.25">
      <c r="A70" t="s">
        <v>136</v>
      </c>
      <c r="B70" s="8">
        <f>IFERROR(B22-B69,"")</f>
        <v>2967697.7690103212</v>
      </c>
    </row>
    <row r="71" spans="1:6" x14ac:dyDescent="0.25">
      <c r="A71" t="s">
        <v>137</v>
      </c>
      <c r="B71" s="8">
        <f>IFERROR(-PMT(Assumptions!$B$22/12,Assumptions!$B$23*12,B69)*12,"")</f>
        <v>135381.59999999957</v>
      </c>
    </row>
    <row r="72" spans="1:6" x14ac:dyDescent="0.25">
      <c r="A72" t="s">
        <v>138</v>
      </c>
      <c r="B72" s="18">
        <f>IFERROR(C61/B71,"")</f>
        <v>1.250000000000004</v>
      </c>
    </row>
    <row r="73" spans="1:6" x14ac:dyDescent="0.25">
      <c r="A73" t="s">
        <v>139</v>
      </c>
      <c r="B73" s="8">
        <f>IFERROR(C61-B71,"")</f>
        <v>33845.400000000431</v>
      </c>
    </row>
    <row r="74" spans="1:6" x14ac:dyDescent="0.25">
      <c r="A74" t="s">
        <v>140</v>
      </c>
      <c r="B74" s="17">
        <f>IFERROR(B73/B70,"")</f>
        <v>1.1404597986164649E-2</v>
      </c>
    </row>
    <row r="76" spans="1:6" x14ac:dyDescent="0.25">
      <c r="A76" s="2" t="s">
        <v>141</v>
      </c>
    </row>
  </sheetData>
  <hyperlinks>
    <hyperlink ref="A3" r:id="rId1" xr:uid="{78DB6CE9-70F7-4E08-8E01-B430374D0B69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01 823 5th St</vt:lpstr>
      <vt:lpstr>'01 823 5th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2026-09-17T18:55:23Z</dcterms:created>
  <dcterms:modified xsi:type="dcterms:W3CDTF">2026-09-17T18:55:26Z</dcterms:modified>
</cp:coreProperties>
</file>