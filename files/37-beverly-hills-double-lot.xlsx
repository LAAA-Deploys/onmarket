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2A38358-BA90-4D76-BDAE-37B4AEB634F8}" xr6:coauthVersionLast="47" xr6:coauthVersionMax="47" xr10:uidLastSave="{00000000-0000-0000-0000-000000000000}"/>
  <bookViews>
    <workbookView xWindow="-120" yWindow="-120" windowWidth="29040" windowHeight="15720" activeTab="1" xr2:uid="{A847A38B-D623-46FD-9485-4221BE0CB768}"/>
  </bookViews>
  <sheets>
    <sheet name="Assumptions" sheetId="1" r:id="rId1"/>
    <sheet name="37 Beverly Hills double lot" sheetId="2" r:id="rId2"/>
  </sheets>
  <definedNames>
    <definedName name="_xlnm.Print_Area" localSheetId="1">'37 Beverly Hills double lot'!$A$1:$N$78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1" i="2"/>
  <c r="B56" i="2"/>
  <c r="B54" i="2"/>
  <c r="E53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B55" i="2" s="1"/>
  <c r="D32" i="2"/>
  <c r="B32" i="2"/>
  <c r="C32" i="2" s="1"/>
  <c r="E31" i="2"/>
  <c r="D31" i="2"/>
  <c r="D30" i="2"/>
  <c r="E30" i="2" s="1"/>
  <c r="E32" i="2" s="1"/>
  <c r="C37" i="2" s="1"/>
  <c r="B24" i="2"/>
  <c r="B23" i="2"/>
  <c r="C62" i="2" l="1"/>
  <c r="C40" i="2"/>
  <c r="C39" i="2"/>
  <c r="C41" i="2" s="1"/>
  <c r="C47" i="2" s="1"/>
  <c r="D47" i="2" s="1"/>
  <c r="D53" i="2" s="1"/>
  <c r="D54" i="2" l="1"/>
  <c r="D55" i="2"/>
  <c r="C60" i="2"/>
  <c r="C53" i="2"/>
  <c r="C61" i="2" l="1"/>
  <c r="B67" i="2"/>
  <c r="B68" i="2" s="1"/>
  <c r="C63" i="2"/>
  <c r="C55" i="2"/>
  <c r="C54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<sst xmlns="http://schemas.openxmlformats.org/spreadsheetml/2006/main" count="146" uniqueCount="138">
  <si>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</si>
  <si>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</si>
  <si>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</si>
  <si>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</si>
  <si>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</si>
  <si>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</si>
  <si>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</si>
  <si>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</si>
  <si>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</si>
  <si>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</si>
  <si>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</si>
  <si>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</si>
  <si>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</si>
  <si>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</si>
  <si>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</si>
  <si>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</si>
  <si>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</si>
  <si>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</si>
  <si>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</si>
  <si>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</si>
  <si>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</si>
  <si>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</si>
  <si>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</si>
  <si>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</si>
  <si>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</si>
  <si>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</si>
  <si>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</si>
  <si>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</si>
  <si>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</si>
  <si>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</si>
  <si>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</si>
  <si>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</si>
  <si>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</si>
  <si>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</si>
  <si>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</si>
  <si>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</si>
  <si>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</si>
  <si>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</si>
  <si>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</si>
  <si>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</si>
  <si>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</si>
  <si>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</si>
  <si>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</si>
  <si>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</si>
  <si>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</si>
  <si>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</si>
  <si>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</si>
  <si>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Beverly Hills double lot (18 units, 2 bldgs)</t>
  </si>
  <si>
    <t>Beverly Hills, CA 90211  |  Beverly Hills</t>
  </si>
  <si>
    <t>LoopNet listing</t>
  </si>
  <si>
    <t>Data pulled 9/17/2026 from LoopNet public listing</t>
  </si>
  <si>
    <t>NOTE: Address not published on LoopNet; 15,751 SF combined lot; 6 of 10 units in one bldg delivered vacant. No financials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</si>
  <si>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</si>
  <si>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</si>
  <si>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</si>
  <si>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</si>
  <si>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</si>
  <si>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</si>
  <si>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</si>
  <si>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Zoning</t>
  </si>
  <si>
    <t>Occupancy per listing</t>
  </si>
  <si>
    <t>APN</t>
  </si>
  <si>
    <t>Assessed value (current)</t>
  </si>
  <si>
    <t>Listing broker(s)</t>
  </si>
  <si>
    <t>Adrienne Barr, Nancy Badzey</t>
  </si>
  <si>
    <t>Date on market</t>
  </si>
  <si>
    <t>6/30/2026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</si>
  <si>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</si>
  <si>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</si>
  <si>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</si>
  <si>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</si>
  <si>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</si>
  <si>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</si>
  <si>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</si>
  <si>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</si>
  <si>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</si>
  <si>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</si>
  <si>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</si>
  <si>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</si>
  <si>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</si>
  <si>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</si>
  <si>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</si>
  <si>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</si>
  <si>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ESTIMATED (no rents, GRM or cap published) - verify with OM</t>
  </si>
  <si>
    <t>2 Bd / 1 Ba</t>
  </si>
  <si>
    <t>Total / weighted avg</t>
  </si>
  <si>
    <t>Unit mix not published; 18 units split assumed 12x1BR / 6x2BR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</si>
  <si>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</si>
  <si>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</si>
  <si>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</si>
  <si>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</si>
  <si>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</si>
  <si>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</si>
  <si>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</si>
  <si>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</si>
  <si>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</si>
  <si>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</si>
  <si>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</si>
  <si>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</si>
  <si>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</si>
  <si>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</si>
  <si>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</si>
  <si>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</si>
  <si>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Beverly Hills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</si>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</sst>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743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1CDAE6C-3C5B-4F5B-9F39-49EE6DAD1FC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74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u-Total-Prime-Bev-Hills-Double-Lot/411129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7F42-95EC-43FB-87D1-F5FA3EE717FD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C7CE-DC09-4C6F-8173-2FBE3571CAA2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18404</v>
      </c>
    </row>
    <row r="9" spans="1:3" x14ac:dyDescent="0.25">
      <c r="A9" t="s">
        <v>55</v>
      </c>
      <c r="B9" s="15">
        <v>15751</v>
      </c>
    </row>
    <row r="10" spans="1:3" x14ac:dyDescent="0.25">
      <c r="A10" t="s">
        <v>56</v>
      </c>
      <c r="B10" s="16">
        <v>0.36199999999999999</v>
      </c>
    </row>
    <row r="11" spans="1:3" x14ac:dyDescent="0.25">
      <c r="A11" t="s">
        <v>57</v>
      </c>
    </row>
    <row r="12" spans="1:3" x14ac:dyDescent="0.25">
      <c r="A12" t="s">
        <v>58</v>
      </c>
    </row>
    <row r="13" spans="1:3" x14ac:dyDescent="0.25">
      <c r="A13" t="s">
        <v>59</v>
      </c>
    </row>
    <row r="14" spans="1:3" x14ac:dyDescent="0.25">
      <c r="A14" t="s">
        <v>60</v>
      </c>
    </row>
    <row r="15" spans="1:3" x14ac:dyDescent="0.25">
      <c r="A15" t="s">
        <v>61</v>
      </c>
    </row>
    <row r="16" spans="1:3" x14ac:dyDescent="0.25">
      <c r="A16" t="s">
        <v>62</v>
      </c>
      <c r="B16" s="8"/>
    </row>
    <row r="17" spans="1:6" x14ac:dyDescent="0.25">
      <c r="A17" t="s">
        <v>63</v>
      </c>
      <c r="B17" t="s">
        <v>64</v>
      </c>
    </row>
    <row r="18" spans="1:6" x14ac:dyDescent="0.25">
      <c r="A18" t="s">
        <v>65</v>
      </c>
      <c r="B18" t="s">
        <v>66</v>
      </c>
    </row>
    <row r="19" spans="1:6" x14ac:dyDescent="0.25">
      <c r="A19" t="s">
        <v>67</v>
      </c>
      <c r="B19" t="s">
        <v>68</v>
      </c>
    </row>
    <row r="21" spans="1:6" x14ac:dyDescent="0.25">
      <c r="A21" s="13" t="s">
        <v>69</v>
      </c>
      <c r="B21" s="14"/>
      <c r="C21" s="14"/>
    </row>
    <row r="22" spans="1:6" x14ac:dyDescent="0.25">
      <c r="A22" t="s">
        <v>70</v>
      </c>
      <c r="B22" s="4">
        <v>10000000</v>
      </c>
    </row>
    <row r="23" spans="1:6" x14ac:dyDescent="0.25">
      <c r="A23" t="s">
        <v>71</v>
      </c>
      <c r="B23" s="8">
        <f>IFERROR(B22/B7,"")</f>
        <v>555555.5555555555</v>
      </c>
    </row>
    <row r="24" spans="1:6" x14ac:dyDescent="0.25">
      <c r="A24" t="s">
        <v>72</v>
      </c>
      <c r="B24" s="17">
        <f>IFERROR(B22/B8,"")</f>
        <v>543.36013910019562</v>
      </c>
    </row>
    <row r="25" spans="1:6" x14ac:dyDescent="0.25">
      <c r="A25" t="s">
        <v>73</v>
      </c>
      <c r="B25" s="18"/>
    </row>
    <row r="26" spans="1:6" x14ac:dyDescent="0.25">
      <c r="A26" t="s">
        <v>74</v>
      </c>
      <c r="B26" s="19"/>
    </row>
    <row r="28" spans="1:6" x14ac:dyDescent="0.25">
      <c r="A28" s="13" t="s">
        <v>75</v>
      </c>
      <c r="B28" s="14"/>
      <c r="C28" s="14"/>
      <c r="D28" s="14"/>
      <c r="E28" s="14"/>
      <c r="F28" s="14"/>
    </row>
    <row r="29" spans="1:6" x14ac:dyDescent="0.25">
      <c r="A29" s="20" t="s">
        <v>76</v>
      </c>
      <c r="B29" s="20" t="s">
        <v>77</v>
      </c>
      <c r="C29" s="20" t="s">
        <v>78</v>
      </c>
      <c r="D29" s="20" t="s">
        <v>79</v>
      </c>
      <c r="E29" s="20" t="s">
        <v>80</v>
      </c>
      <c r="F29" s="20" t="s">
        <v>81</v>
      </c>
    </row>
    <row r="30" spans="1:6" x14ac:dyDescent="0.25">
      <c r="A30" t="s">
        <v>82</v>
      </c>
      <c r="B30" s="15">
        <v>12</v>
      </c>
      <c r="C30" s="21">
        <v>2400</v>
      </c>
      <c r="D30" s="8">
        <f>B30*C30</f>
        <v>28800</v>
      </c>
      <c r="E30" s="8">
        <f>D30*12</f>
        <v>345600</v>
      </c>
      <c r="F30" s="2" t="s">
        <v>83</v>
      </c>
    </row>
    <row r="31" spans="1:6" x14ac:dyDescent="0.25">
      <c r="A31" t="s">
        <v>84</v>
      </c>
      <c r="B31" s="15">
        <v>6</v>
      </c>
      <c r="C31" s="21">
        <v>3200</v>
      </c>
      <c r="D31" s="8">
        <f>B31*C31</f>
        <v>19200</v>
      </c>
      <c r="E31" s="8">
        <f>D31*12</f>
        <v>230400</v>
      </c>
      <c r="F31" s="2" t="s">
        <v>83</v>
      </c>
    </row>
    <row r="32" spans="1:6" x14ac:dyDescent="0.25">
      <c r="A32" s="22" t="s">
        <v>85</v>
      </c>
      <c r="B32" s="23">
        <f>SUM(B30:B31)</f>
        <v>18</v>
      </c>
      <c r="C32" s="24">
        <f>IFERROR(D32/B32,"")</f>
        <v>2666.6666666666665</v>
      </c>
      <c r="D32" s="24">
        <f>SUM(D30:D31)</f>
        <v>48000</v>
      </c>
      <c r="E32" s="24">
        <f>SUM(E30:E31)</f>
        <v>576000</v>
      </c>
    </row>
    <row r="33" spans="1:6" x14ac:dyDescent="0.25">
      <c r="A33" s="2" t="s">
        <v>86</v>
      </c>
    </row>
    <row r="35" spans="1:6" x14ac:dyDescent="0.25">
      <c r="A35" s="13" t="s">
        <v>87</v>
      </c>
      <c r="B35" s="14"/>
      <c r="C35" s="14"/>
      <c r="D35" s="14"/>
      <c r="E35" s="14"/>
      <c r="F35" s="14"/>
    </row>
    <row r="36" spans="1:6" x14ac:dyDescent="0.25">
      <c r="A36" s="25"/>
      <c r="B36" s="25" t="s">
        <v>88</v>
      </c>
      <c r="C36" s="25" t="s">
        <v>89</v>
      </c>
      <c r="D36" s="25"/>
      <c r="E36" s="25"/>
      <c r="F36" s="25" t="s">
        <v>90</v>
      </c>
    </row>
    <row r="37" spans="1:6" x14ac:dyDescent="0.25">
      <c r="A37" t="s">
        <v>91</v>
      </c>
      <c r="B37" s="8"/>
      <c r="C37" s="8">
        <f>E32</f>
        <v>576000</v>
      </c>
      <c r="F37" s="2" t="s">
        <v>92</v>
      </c>
    </row>
    <row r="38" spans="1:6" x14ac:dyDescent="0.25">
      <c r="A38" t="s">
        <v>93</v>
      </c>
      <c r="B38" s="8">
        <v>0</v>
      </c>
      <c r="C38" s="4">
        <v>0</v>
      </c>
    </row>
    <row r="39" spans="1:6" x14ac:dyDescent="0.25">
      <c r="A39" s="22" t="s">
        <v>94</v>
      </c>
      <c r="B39" s="8">
        <f>B37+B38</f>
        <v>0</v>
      </c>
      <c r="C39" s="8">
        <f>C37+C38</f>
        <v>576000</v>
      </c>
    </row>
    <row r="40" spans="1:6" x14ac:dyDescent="0.25">
      <c r="A40" t="s">
        <v>95</v>
      </c>
      <c r="B40" s="8">
        <f>-B37*0.03</f>
        <v>0</v>
      </c>
      <c r="C40" s="8">
        <f>-C37*Assumptions!$B$3</f>
        <v>-17280</v>
      </c>
      <c r="F40" s="2" t="s">
        <v>96</v>
      </c>
    </row>
    <row r="41" spans="1:6" x14ac:dyDescent="0.25">
      <c r="A41" s="22" t="s">
        <v>97</v>
      </c>
      <c r="B41" s="24">
        <f>B39+B40</f>
        <v>0</v>
      </c>
      <c r="C41" s="24">
        <f>C39+C40</f>
        <v>558720</v>
      </c>
    </row>
    <row r="43" spans="1:6" x14ac:dyDescent="0.25">
      <c r="A43" s="13" t="s">
        <v>98</v>
      </c>
      <c r="B43" s="14"/>
      <c r="C43" s="14"/>
      <c r="D43" s="14"/>
      <c r="E43" s="14"/>
      <c r="F43" s="14"/>
    </row>
    <row r="44" spans="1:6" x14ac:dyDescent="0.25">
      <c r="A44" s="25" t="s">
        <v>99</v>
      </c>
      <c r="B44" s="25" t="s">
        <v>88</v>
      </c>
      <c r="C44" s="25" t="s">
        <v>100</v>
      </c>
      <c r="D44" s="25" t="s">
        <v>89</v>
      </c>
      <c r="E44" s="25" t="s">
        <v>101</v>
      </c>
      <c r="F44" s="25" t="s">
        <v>90</v>
      </c>
    </row>
    <row r="45" spans="1:6" x14ac:dyDescent="0.25">
      <c r="A45" t="s">
        <v>102</v>
      </c>
      <c r="B45" s="8"/>
      <c r="C45" s="8">
        <f>B22*Assumptions!$B$17</f>
        <v>115000</v>
      </c>
      <c r="D45" s="26">
        <f>C45</f>
        <v>115000</v>
      </c>
      <c r="E45" s="8" t="str">
        <f t="shared" ref="E45:E53" si="0">IF(ISNUMBER(B45),D45-B45,"")</f>
        <v/>
      </c>
      <c r="F45" s="2" t="s">
        <v>103</v>
      </c>
    </row>
    <row r="46" spans="1:6" x14ac:dyDescent="0.25">
      <c r="A46" t="s">
        <v>104</v>
      </c>
      <c r="B46" s="8"/>
      <c r="C46" s="8">
        <f>B7*Assumptions!$B$5+B8*Assumptions!$B$6</f>
        <v>22004</v>
      </c>
      <c r="D46" s="26">
        <f t="shared" ref="D46:D52" si="1">IF(ISNUMBER(B46),MAX(B46,C46),C46)</f>
        <v>22004</v>
      </c>
      <c r="E46" s="8" t="str">
        <f t="shared" si="0"/>
        <v/>
      </c>
      <c r="F46" s="2" t="s">
        <v>105</v>
      </c>
    </row>
    <row r="47" spans="1:6" x14ac:dyDescent="0.25">
      <c r="A47" t="s">
        <v>106</v>
      </c>
      <c r="B47" s="8"/>
      <c r="C47" s="8">
        <f>C41*Assumptions!$B$4</f>
        <v>27936</v>
      </c>
      <c r="D47" s="26">
        <f t="shared" si="1"/>
        <v>27936</v>
      </c>
      <c r="E47" s="8" t="str">
        <f t="shared" si="0"/>
        <v/>
      </c>
      <c r="F47" s="2" t="s">
        <v>107</v>
      </c>
    </row>
    <row r="48" spans="1:6" x14ac:dyDescent="0.25">
      <c r="A48" t="s">
        <v>108</v>
      </c>
      <c r="B48" s="8"/>
      <c r="C48" s="8">
        <f>B7*Assumptions!$B$7</f>
        <v>21600</v>
      </c>
      <c r="D48" s="26">
        <f t="shared" si="1"/>
        <v>21600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B7*Assumptions!$B$11</f>
        <v>28800</v>
      </c>
      <c r="D49" s="26">
        <f t="shared" si="1"/>
        <v>28800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B7*Assumptions!$B$12</f>
        <v>7200</v>
      </c>
      <c r="D50" s="26">
        <f t="shared" si="1"/>
        <v>7200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B7*Assumptions!$B$13</f>
        <v>4500</v>
      </c>
      <c r="D51" s="26">
        <f t="shared" si="1"/>
        <v>4500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B7*Assumptions!$B$14</f>
        <v>5400</v>
      </c>
      <c r="D52" s="26">
        <f t="shared" si="1"/>
        <v>5400</v>
      </c>
      <c r="E52" s="8" t="str">
        <f t="shared" si="0"/>
        <v/>
      </c>
      <c r="F52" s="2" t="s">
        <v>113</v>
      </c>
    </row>
    <row r="53" spans="1:6" x14ac:dyDescent="0.25">
      <c r="A53" s="22" t="s">
        <v>117</v>
      </c>
      <c r="B53" s="22"/>
      <c r="C53" s="24">
        <f>SUM(C45:C52)</f>
        <v>232440</v>
      </c>
      <c r="D53" s="24">
        <f>SUM(D45:D52)</f>
        <v>232440</v>
      </c>
      <c r="E53" s="24" t="str">
        <f t="shared" si="0"/>
        <v/>
      </c>
      <c r="F53" s="2" t="s">
        <v>118</v>
      </c>
    </row>
    <row r="54" spans="1:6" x14ac:dyDescent="0.25">
      <c r="A54" t="s">
        <v>119</v>
      </c>
      <c r="B54" s="8">
        <f>IFERROR(B53/B7,"")</f>
        <v>0</v>
      </c>
      <c r="C54" s="8">
        <f>IFERROR(C53/B7,"")</f>
        <v>12913.333333333334</v>
      </c>
      <c r="D54" s="8">
        <f>IFERROR(D53/B7,"")</f>
        <v>12913.333333333334</v>
      </c>
    </row>
    <row r="55" spans="1:6" x14ac:dyDescent="0.25">
      <c r="A55" t="s">
        <v>120</v>
      </c>
      <c r="B55" s="18" t="str">
        <f>IFERROR(B53/B41,"")</f>
        <v/>
      </c>
      <c r="C55" s="18">
        <f>IFERROR(C53/C41,"")</f>
        <v>0.41602233676975947</v>
      </c>
      <c r="D55" s="18">
        <f>IF(C37&gt;0,IFERROR(D53/C41,""),"")</f>
        <v>0.41602233676975947</v>
      </c>
    </row>
    <row r="56" spans="1:6" x14ac:dyDescent="0.25">
      <c r="A56" s="22" t="s">
        <v>121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122</v>
      </c>
      <c r="B58" s="14"/>
      <c r="C58" s="14"/>
      <c r="D58" s="14"/>
      <c r="E58" s="14"/>
      <c r="F58" s="14"/>
    </row>
    <row r="59" spans="1:6" x14ac:dyDescent="0.25">
      <c r="A59" s="25"/>
      <c r="B59" s="25" t="s">
        <v>88</v>
      </c>
      <c r="C59" s="25" t="s">
        <v>89</v>
      </c>
      <c r="D59" s="25"/>
      <c r="E59" s="25"/>
      <c r="F59" s="25" t="s">
        <v>90</v>
      </c>
    </row>
    <row r="60" spans="1:6" x14ac:dyDescent="0.25">
      <c r="A60" s="22" t="s">
        <v>123</v>
      </c>
      <c r="B60" s="22"/>
      <c r="C60" s="24">
        <f>IF(C37&gt;0,C41-D53,"")</f>
        <v>326280</v>
      </c>
    </row>
    <row r="61" spans="1:6" x14ac:dyDescent="0.25">
      <c r="A61" s="22" t="s">
        <v>124</v>
      </c>
      <c r="B61" s="18">
        <f>IFERROR(B60/B22,"")</f>
        <v>0</v>
      </c>
      <c r="C61" s="18">
        <f>IF(C60="","",IFERROR(C60/B22,""))</f>
        <v>3.2627999999999997E-2</v>
      </c>
      <c r="F61" s="2" t="s">
        <v>125</v>
      </c>
    </row>
    <row r="62" spans="1:6" x14ac:dyDescent="0.25">
      <c r="A62" t="s">
        <v>126</v>
      </c>
      <c r="B62" s="19" t="str">
        <f>IFERROR(B22/B37,"")</f>
        <v/>
      </c>
      <c r="C62" s="19">
        <f>IF(C37&gt;0,IFERROR(B22/C37,""),"")</f>
        <v>17.361111111111111</v>
      </c>
    </row>
    <row r="63" spans="1:6" x14ac:dyDescent="0.25">
      <c r="A63" t="s">
        <v>127</v>
      </c>
      <c r="B63" s="8">
        <f>IFERROR(B60/B7,"")</f>
        <v>0</v>
      </c>
      <c r="C63" s="8">
        <f>IF(C60="","",IFERROR(C60/B7,""))</f>
        <v>18126.666666666668</v>
      </c>
    </row>
    <row r="65" spans="1:6" x14ac:dyDescent="0.25">
      <c r="A65" s="13" t="s">
        <v>128</v>
      </c>
      <c r="B65" s="14"/>
      <c r="C65" s="14"/>
      <c r="D65" s="14"/>
      <c r="E65" s="14"/>
      <c r="F65" s="14"/>
    </row>
    <row r="66" spans="1:6" x14ac:dyDescent="0.25">
      <c r="A66" t="s">
        <v>129</v>
      </c>
      <c r="B66" s="8">
        <f>IFERROR(B22*Assumptions!$B$20,"")</f>
        <v>6000000</v>
      </c>
    </row>
    <row r="67" spans="1:6" x14ac:dyDescent="0.25">
      <c r="A67" t="s">
        <v>130</v>
      </c>
      <c r="B67" s="8">
        <f>IF(C60="","",IFERROR(PV(Assumptions!$B$22/12,Assumptions!$B$23*12,-C60/Assumptions!$B$21/12),""))</f>
        <v>3532790.7008179096</v>
      </c>
    </row>
    <row r="68" spans="1:6" x14ac:dyDescent="0.25">
      <c r="A68" s="22" t="s">
        <v>131</v>
      </c>
      <c r="B68" s="8">
        <f>IFERROR(MIN(B66,B67),"")</f>
        <v>3532790.7008179096</v>
      </c>
    </row>
    <row r="69" spans="1:6" x14ac:dyDescent="0.25">
      <c r="A69" t="s">
        <v>132</v>
      </c>
      <c r="B69" s="8">
        <f>IFERROR(B22-B68,"")</f>
        <v>6467209.2991820909</v>
      </c>
    </row>
    <row r="70" spans="1:6" x14ac:dyDescent="0.25">
      <c r="A70" t="s">
        <v>133</v>
      </c>
      <c r="B70" s="8">
        <f>IFERROR(-PMT(Assumptions!$B$22/12,Assumptions!$B$23*12,B68)*12,"")</f>
        <v>261023.99999999919</v>
      </c>
    </row>
    <row r="71" spans="1:6" x14ac:dyDescent="0.25">
      <c r="A71" t="s">
        <v>134</v>
      </c>
      <c r="B71" s="19">
        <f>IFERROR(C60/B70,"")</f>
        <v>1.250000000000004</v>
      </c>
    </row>
    <row r="72" spans="1:6" x14ac:dyDescent="0.25">
      <c r="A72" t="s">
        <v>135</v>
      </c>
      <c r="B72" s="8">
        <f>IFERROR(C60-B70,"")</f>
        <v>65256.000000000815</v>
      </c>
    </row>
    <row r="73" spans="1:6" x14ac:dyDescent="0.25">
      <c r="A73" t="s">
        <v>136</v>
      </c>
      <c r="B73" s="18">
        <f>IFERROR(B72/B69,"")</f>
        <v>1.00902873219603E-2</v>
      </c>
    </row>
    <row r="75" spans="1:6" x14ac:dyDescent="0.25">
      <c r="A75" s="2" t="s">
        <v>137</v>
      </c>
    </row>
  </sheetData>
  <hyperlinks>
    <hyperlink ref="A3" r:id="rId1" xr:uid="{1E6B022E-29D9-4C02-A083-1FA553C0270E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37 Beverly Hills double lot</vt:lpstr>
      <vt:lpstr>'37 Beverly Hills double lot'!Print_Area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2026-09-17T19:27:23Z</dcterms:created>
  <dcterms:modified xsi:type="dcterms:W3CDTF">2026-09-17T19:27:26Z</dcterms:modified>
</cp:coreProperties>
</file>