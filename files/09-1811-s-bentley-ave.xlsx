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A8B8C26-E336-45F8-A4AB-6C9D2C7502F6}" xr6:coauthVersionLast="47" xr6:coauthVersionMax="47" xr10:uidLastSave="{00000000-0000-0000-0000-000000000000}"/>
  <bookViews>
    <workbookView xWindow="-120" yWindow="-120" windowWidth="29040" windowHeight="15720" activeTab="1" xr2:uid="{661EE618-E579-4616-A286-A8F02D2E6E3E}"/>
  </bookViews>
  <sheets>
    <sheet name="Assumptions" sheetId="1" r:id="rId1"/>
    <sheet name="09 1811 S Bentley Ave" sheetId="2" r:id="rId2"/>
  </sheets>
  <definedNames>
    <definedName name="_xlnm.Print_Area" localSheetId="1">'09 1811 S Bentley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54" i="2" l="1"/>
  <c r="E34" i="2"/>
  <c r="C38" i="2" s="1"/>
  <c r="C41" i="2" l="1"/>
  <c r="C40" i="2"/>
  <c r="C42" i="2" s="1"/>
  <c r="C48" i="2" s="1"/>
  <c r="C63" i="2"/>
  <c r="B55" i="2"/>
  <c r="B56" i="2"/>
  <c r="B61" i="2"/>
  <c r="B62" i="2" l="1"/>
  <c r="B64" i="2"/>
  <c r="D48" i="2"/>
  <c r="D54" i="2" s="1"/>
  <c r="C54" i="2"/>
  <c r="C61" i="2"/>
  <c r="D55" i="2" l="1"/>
  <c r="B57" i="2"/>
  <c r="D56" i="2"/>
  <c r="E54" i="2"/>
  <c r="C62" i="2"/>
  <c r="B68" i="2"/>
  <c r="B69" i="2" s="1"/>
  <c r="C64" i="2"/>
  <c r="C56" i="2"/>
  <c r="C55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<sst xmlns="http://schemas.openxmlformats.org/spreadsheetml/2006/main" count="152" uniqueCount="142">
  <si>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</si>
  <si>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</si>
  <si>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</si>
  <si>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</si>
  <si>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</si>
  <si>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</si>
  <si>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</si>
  <si>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</si>
  <si>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</si>
  <si>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</si>
  <si>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</si>
  <si>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</si>
  <si>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</si>
  <si>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</si>
  <si>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</si>
  <si>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</si>
  <si>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</si>
  <si>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</si>
  <si>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</si>
  <si>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</si>
  <si>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</si>
  <si>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</si>
  <si>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</si>
  <si>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</si>
  <si>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</si>
  <si>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</si>
  <si>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</si>
  <si>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</si>
  <si>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</si>
  <si>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</si>
  <si>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</si>
  <si>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</si>
  <si>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</si>
  <si>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</si>
  <si>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</si>
  <si>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</si>
  <si>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</si>
  <si>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</si>
  <si>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</si>
  <si>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</si>
  <si>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</si>
  <si>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</si>
  <si>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</si>
  <si>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</si>
  <si>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</si>
  <si>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</si>
  <si>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</si>
  <si>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1811 S Bentley Ave (Brazilia Apts)</t>
  </si>
  <si>
    <t>Los Angeles, CA 90025  |  West LA / Sawtelle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</si>
  <si>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</si>
  <si>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</si>
  <si>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</si>
  <si>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</si>
  <si>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</si>
  <si>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</si>
  <si>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</si>
  <si>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</si>
  <si>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</si>
  <si>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</si>
  <si>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</si>
  <si>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</si>
  <si>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</si>
  <si>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100%</t>
  </si>
  <si>
    <t>APN</t>
  </si>
  <si>
    <t>4323-021-022</t>
  </si>
  <si>
    <t>Assessed value (current)</t>
  </si>
  <si>
    <t>Listing broker(s)</t>
  </si>
  <si>
    <t>Jake Glaser</t>
  </si>
  <si>
    <t>Date on market</t>
  </si>
  <si>
    <t>8/25/2026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</si>
  <si>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</si>
  <si>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</si>
  <si>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</si>
  <si>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</si>
  <si>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</si>
  <si>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</si>
  <si>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</si>
  <si>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</si>
  <si>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</si>
  <si>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</si>
  <si>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</si>
  <si>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</si>
  <si>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</si>
  <si>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</si>
  <si>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</si>
  <si>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(~550 SF)</t>
  </si>
  <si>
    <t>Allocated from published GRM (price / GRM) using LAAA bed weights</t>
  </si>
  <si>
    <t>2 Bd / 1 Ba  (~800 SF)</t>
  </si>
  <si>
    <t>2 Bd / 2 Ba  (~800 SF)</t>
  </si>
  <si>
    <t>3 Bd / 2 Ba  (~1100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</si>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</sst>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17CE654-43F2-4386-9162-AD8C42E90E2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1-S-Bentley-Ave-Los-Angeles-CA/418794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CE8F-CB71-46F3-92C9-C5DC0DF53BF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60F2-0F91-4AE5-A381-2C0370572FE2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15</v>
      </c>
    </row>
    <row r="8" spans="1:3" x14ac:dyDescent="0.25">
      <c r="A8" t="s">
        <v>53</v>
      </c>
      <c r="B8" s="14">
        <v>16568</v>
      </c>
    </row>
    <row r="9" spans="1:3" x14ac:dyDescent="0.25">
      <c r="A9" t="s">
        <v>54</v>
      </c>
      <c r="B9" s="14">
        <v>11761</v>
      </c>
    </row>
    <row r="10" spans="1:3" x14ac:dyDescent="0.25">
      <c r="A10" t="s">
        <v>55</v>
      </c>
      <c r="B10" s="15">
        <v>0.27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5866611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6350000</v>
      </c>
    </row>
    <row r="23" spans="1:6" x14ac:dyDescent="0.25">
      <c r="A23" t="s">
        <v>74</v>
      </c>
      <c r="B23" s="8">
        <f>IFERROR(B22/B7,"")</f>
        <v>423333.33333333331</v>
      </c>
    </row>
    <row r="24" spans="1:6" x14ac:dyDescent="0.25">
      <c r="A24" t="s">
        <v>75</v>
      </c>
      <c r="B24" s="16">
        <f>IFERROR(B22/B8,"")</f>
        <v>383.26895219700629</v>
      </c>
    </row>
    <row r="25" spans="1:6" x14ac:dyDescent="0.25">
      <c r="A25" t="s">
        <v>76</v>
      </c>
      <c r="B25" s="17">
        <v>5.6599999999999998E-2</v>
      </c>
    </row>
    <row r="26" spans="1:6" x14ac:dyDescent="0.25">
      <c r="A26" t="s">
        <v>77</v>
      </c>
      <c r="B26" s="18">
        <v>11.23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2</v>
      </c>
      <c r="C30" s="20">
        <v>2147</v>
      </c>
      <c r="D30" s="8">
        <f>B30*C30</f>
        <v>4294</v>
      </c>
      <c r="E30" s="8">
        <f>D30*12</f>
        <v>51528</v>
      </c>
      <c r="F30" s="2" t="s">
        <v>86</v>
      </c>
    </row>
    <row r="31" spans="1:6" x14ac:dyDescent="0.25">
      <c r="A31" t="s">
        <v>87</v>
      </c>
      <c r="B31" s="14">
        <v>1</v>
      </c>
      <c r="C31" s="20">
        <v>2898</v>
      </c>
      <c r="D31" s="8">
        <f>B31*C31</f>
        <v>2898</v>
      </c>
      <c r="E31" s="8">
        <f>D31*12</f>
        <v>34776</v>
      </c>
      <c r="F31" s="2" t="s">
        <v>86</v>
      </c>
    </row>
    <row r="32" spans="1:6" x14ac:dyDescent="0.25">
      <c r="A32" t="s">
        <v>88</v>
      </c>
      <c r="B32" s="14">
        <v>6</v>
      </c>
      <c r="C32" s="20">
        <v>2898</v>
      </c>
      <c r="D32" s="8">
        <f>B32*C32</f>
        <v>17388</v>
      </c>
      <c r="E32" s="8">
        <f>D32*12</f>
        <v>208656</v>
      </c>
      <c r="F32" s="2" t="s">
        <v>86</v>
      </c>
    </row>
    <row r="33" spans="1:6" x14ac:dyDescent="0.25">
      <c r="A33" t="s">
        <v>89</v>
      </c>
      <c r="B33" s="14">
        <v>6</v>
      </c>
      <c r="C33" s="20">
        <v>3757</v>
      </c>
      <c r="D33" s="8">
        <f>B33*C33</f>
        <v>22542</v>
      </c>
      <c r="E33" s="8">
        <f>D33*12</f>
        <v>270504</v>
      </c>
      <c r="F33" s="2" t="s">
        <v>86</v>
      </c>
    </row>
    <row r="34" spans="1:6" x14ac:dyDescent="0.25">
      <c r="A34" s="21" t="s">
        <v>90</v>
      </c>
      <c r="B34" s="22">
        <f>SUM(B30:B33)</f>
        <v>15</v>
      </c>
      <c r="C34" s="23">
        <f>IFERROR(D34/B34,"")</f>
        <v>3141.4666666666667</v>
      </c>
      <c r="D34" s="23">
        <f>SUM(D30:D33)</f>
        <v>47122</v>
      </c>
      <c r="E34" s="23">
        <f>SUM(E30:E33)</f>
        <v>565464</v>
      </c>
    </row>
    <row r="36" spans="1:6" x14ac:dyDescent="0.25">
      <c r="A36" s="12" t="s">
        <v>91</v>
      </c>
      <c r="B36" s="13"/>
      <c r="C36" s="13"/>
      <c r="D36" s="13"/>
      <c r="E36" s="13"/>
      <c r="F36" s="13"/>
    </row>
    <row r="37" spans="1:6" x14ac:dyDescent="0.25">
      <c r="A37" s="24"/>
      <c r="B37" s="24" t="s">
        <v>92</v>
      </c>
      <c r="C37" s="24" t="s">
        <v>93</v>
      </c>
      <c r="D37" s="24"/>
      <c r="E37" s="24"/>
      <c r="F37" s="24" t="s">
        <v>94</v>
      </c>
    </row>
    <row r="38" spans="1:6" x14ac:dyDescent="0.25">
      <c r="A38" t="s">
        <v>95</v>
      </c>
      <c r="B38" s="8">
        <v>565449.68833481742</v>
      </c>
      <c r="C38" s="8">
        <f>E34</f>
        <v>565464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1" t="s">
        <v>98</v>
      </c>
      <c r="B40" s="8">
        <f>B38+B39</f>
        <v>565449.68833481742</v>
      </c>
      <c r="C40" s="8">
        <f>C38+C39</f>
        <v>565464</v>
      </c>
    </row>
    <row r="41" spans="1:6" x14ac:dyDescent="0.25">
      <c r="A41" t="s">
        <v>99</v>
      </c>
      <c r="B41" s="8">
        <f>-B38*0.03</f>
        <v>-16963.490650044521</v>
      </c>
      <c r="C41" s="8">
        <f>-C38*Assumptions!$B$3</f>
        <v>-16963.919999999998</v>
      </c>
      <c r="F41" s="2" t="s">
        <v>100</v>
      </c>
    </row>
    <row r="42" spans="1:6" x14ac:dyDescent="0.25">
      <c r="A42" s="21" t="s">
        <v>101</v>
      </c>
      <c r="B42" s="23">
        <f>B40+B41</f>
        <v>548486.19768477289</v>
      </c>
      <c r="C42" s="23">
        <f>C40+C41</f>
        <v>548500.07999999996</v>
      </c>
    </row>
    <row r="44" spans="1:6" x14ac:dyDescent="0.25">
      <c r="A44" s="12" t="s">
        <v>102</v>
      </c>
      <c r="B44" s="13"/>
      <c r="C44" s="13"/>
      <c r="D44" s="13"/>
      <c r="E44" s="13"/>
      <c r="F44" s="13"/>
    </row>
    <row r="45" spans="1:6" x14ac:dyDescent="0.25">
      <c r="A45" s="24" t="s">
        <v>103</v>
      </c>
      <c r="B45" s="24" t="s">
        <v>92</v>
      </c>
      <c r="C45" s="24" t="s">
        <v>104</v>
      </c>
      <c r="D45" s="24" t="s">
        <v>93</v>
      </c>
      <c r="E45" s="24" t="s">
        <v>105</v>
      </c>
      <c r="F45" s="24" t="s">
        <v>94</v>
      </c>
    </row>
    <row r="46" spans="1:6" x14ac:dyDescent="0.25">
      <c r="A46" t="s">
        <v>106</v>
      </c>
      <c r="B46" s="8"/>
      <c r="C46" s="8">
        <f>B22*Assumptions!$B$15</f>
        <v>79375</v>
      </c>
      <c r="D46" s="25">
        <f>C46</f>
        <v>79375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19568</v>
      </c>
      <c r="D47" s="25">
        <f t="shared" ref="D47:D53" si="1">IF(ISNUMBER(B47),MAX(B47,C47),C47)</f>
        <v>19568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27425.004000000001</v>
      </c>
      <c r="D48" s="25">
        <f t="shared" si="1"/>
        <v>27425.004000000001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18000</v>
      </c>
      <c r="D49" s="25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B7*Assumptions!$B$9</f>
        <v>22500</v>
      </c>
      <c r="D50" s="25">
        <f t="shared" si="1"/>
        <v>22500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6000</v>
      </c>
      <c r="D51" s="25">
        <f t="shared" si="1"/>
        <v>6000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3750</v>
      </c>
      <c r="D52" s="25">
        <f t="shared" si="1"/>
        <v>3750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4500</v>
      </c>
      <c r="D53" s="25">
        <f t="shared" si="1"/>
        <v>4500</v>
      </c>
      <c r="E53" s="8" t="str">
        <f t="shared" si="0"/>
        <v/>
      </c>
      <c r="F53" s="2" t="s">
        <v>117</v>
      </c>
    </row>
    <row r="54" spans="1:6" x14ac:dyDescent="0.25">
      <c r="A54" s="21" t="s">
        <v>121</v>
      </c>
      <c r="B54" s="23">
        <f>B42-B22*B25</f>
        <v>189076.19768477289</v>
      </c>
      <c r="C54" s="23">
        <f>SUM(C46:C53)</f>
        <v>181118.00400000002</v>
      </c>
      <c r="D54" s="23">
        <f>SUM(D46:D53)</f>
        <v>181118.00400000002</v>
      </c>
      <c r="E54" s="23">
        <f t="shared" si="0"/>
        <v>-7958.1936847728794</v>
      </c>
      <c r="F54" s="2" t="s">
        <v>122</v>
      </c>
    </row>
    <row r="55" spans="1:6" x14ac:dyDescent="0.25">
      <c r="A55" t="s">
        <v>123</v>
      </c>
      <c r="B55" s="8">
        <f>IFERROR(B54/B7,"")</f>
        <v>12605.079845651526</v>
      </c>
      <c r="C55" s="8">
        <f>IFERROR(C54/B7,"")</f>
        <v>12074.533600000001</v>
      </c>
      <c r="D55" s="8">
        <f>IFERROR(D54/B7,"")</f>
        <v>12074.533600000001</v>
      </c>
    </row>
    <row r="56" spans="1:6" x14ac:dyDescent="0.25">
      <c r="A56" t="s">
        <v>124</v>
      </c>
      <c r="B56" s="17">
        <f>IFERROR(B54/B42,"")</f>
        <v>0.34472371134020613</v>
      </c>
      <c r="C56" s="17">
        <f>IFERROR(C54/C42,"")</f>
        <v>0.33020597553969366</v>
      </c>
      <c r="D56" s="17">
        <f>IF(C38&gt;0,IFERROR(D54/C42,""),"")</f>
        <v>0.33020597553969366</v>
      </c>
    </row>
    <row r="57" spans="1:6" x14ac:dyDescent="0.25">
      <c r="A57" s="21" t="s">
        <v>125</v>
      </c>
      <c r="B57" s="26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2" t="s">
        <v>126</v>
      </c>
      <c r="B59" s="13"/>
      <c r="C59" s="13"/>
      <c r="D59" s="13"/>
      <c r="E59" s="13"/>
      <c r="F59" s="13"/>
    </row>
    <row r="60" spans="1:6" x14ac:dyDescent="0.25">
      <c r="A60" s="24"/>
      <c r="B60" s="24" t="s">
        <v>92</v>
      </c>
      <c r="C60" s="24" t="s">
        <v>93</v>
      </c>
      <c r="D60" s="24"/>
      <c r="E60" s="24"/>
      <c r="F60" s="24" t="s">
        <v>94</v>
      </c>
    </row>
    <row r="61" spans="1:6" x14ac:dyDescent="0.25">
      <c r="A61" s="21" t="s">
        <v>127</v>
      </c>
      <c r="B61" s="23">
        <f>B42-B54</f>
        <v>359410</v>
      </c>
      <c r="C61" s="23">
        <f>IF(C38&gt;0,C42-D54,"")</f>
        <v>367382.07599999994</v>
      </c>
    </row>
    <row r="62" spans="1:6" x14ac:dyDescent="0.25">
      <c r="A62" s="21" t="s">
        <v>128</v>
      </c>
      <c r="B62" s="17">
        <f>IFERROR(B61/B22,"")</f>
        <v>5.6599999999999998E-2</v>
      </c>
      <c r="C62" s="17">
        <f>IF(C61="","",IFERROR(C61/B22,""))</f>
        <v>5.7855445039370068E-2</v>
      </c>
      <c r="F62" s="2" t="s">
        <v>129</v>
      </c>
    </row>
    <row r="63" spans="1:6" x14ac:dyDescent="0.25">
      <c r="A63" t="s">
        <v>130</v>
      </c>
      <c r="B63" s="18">
        <f>IFERROR(B22/B38,"")</f>
        <v>11.23</v>
      </c>
      <c r="C63" s="18">
        <f>IF(C38&gt;0,IFERROR(B22/C38,""),"")</f>
        <v>11.229715773241091</v>
      </c>
    </row>
    <row r="64" spans="1:6" x14ac:dyDescent="0.25">
      <c r="A64" t="s">
        <v>131</v>
      </c>
      <c r="B64" s="8">
        <f>IFERROR(B61/B7,"")</f>
        <v>23960.666666666668</v>
      </c>
      <c r="C64" s="8">
        <f>IF(C61="","",IFERROR(C61/B7,""))</f>
        <v>24492.138399999996</v>
      </c>
    </row>
    <row r="66" spans="1:6" x14ac:dyDescent="0.25">
      <c r="A66" s="12" t="s">
        <v>132</v>
      </c>
      <c r="B66" s="13"/>
      <c r="C66" s="13"/>
      <c r="D66" s="13"/>
      <c r="E66" s="13"/>
      <c r="F66" s="13"/>
    </row>
    <row r="67" spans="1:6" x14ac:dyDescent="0.25">
      <c r="A67" t="s">
        <v>133</v>
      </c>
      <c r="B67" s="8">
        <f>IFERROR(B22*Assumptions!$B$20,"")</f>
        <v>3810000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3977822.6729801958</v>
      </c>
    </row>
    <row r="69" spans="1:6" x14ac:dyDescent="0.25">
      <c r="A69" s="21" t="s">
        <v>135</v>
      </c>
      <c r="B69" s="8">
        <f>IFERROR(MIN(B67,B68),"")</f>
        <v>3810000</v>
      </c>
    </row>
    <row r="70" spans="1:6" x14ac:dyDescent="0.25">
      <c r="A70" t="s">
        <v>136</v>
      </c>
      <c r="B70" s="8">
        <f>IFERROR(B22-B69,"")</f>
        <v>2540000</v>
      </c>
    </row>
    <row r="71" spans="1:6" x14ac:dyDescent="0.25">
      <c r="A71" t="s">
        <v>137</v>
      </c>
      <c r="B71" s="8">
        <f>IFERROR(-PMT(Assumptions!$B$22/12,Assumptions!$B$23*12,B69)*12,"")</f>
        <v>281505.90403494623</v>
      </c>
    </row>
    <row r="72" spans="1:6" x14ac:dyDescent="0.25">
      <c r="A72" t="s">
        <v>138</v>
      </c>
      <c r="B72" s="18">
        <f>IFERROR(C61/B71,"")</f>
        <v>1.3050599320801208</v>
      </c>
    </row>
    <row r="73" spans="1:6" x14ac:dyDescent="0.25">
      <c r="A73" t="s">
        <v>139</v>
      </c>
      <c r="B73" s="8">
        <f>IFERROR(C61-B71,"")</f>
        <v>85876.171965053712</v>
      </c>
    </row>
    <row r="74" spans="1:6" x14ac:dyDescent="0.25">
      <c r="A74" t="s">
        <v>140</v>
      </c>
      <c r="B74" s="17">
        <f>IFERROR(B73/B70,"")</f>
        <v>3.3809516521674687E-2</v>
      </c>
    </row>
    <row r="76" spans="1:6" x14ac:dyDescent="0.25">
      <c r="A76" s="2" t="s">
        <v>141</v>
      </c>
    </row>
  </sheetData>
  <hyperlinks>
    <hyperlink ref="A3" r:id="rId1" xr:uid="{F7557E77-9C9F-4ED4-B261-D9A9E99D7385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09 1811 S Bentley Ave</vt:lpstr>
      <vt:lpstr>'09 1811 S Bentley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2026-09-17T19:25:10Z</dcterms:created>
  <dcterms:modified xsi:type="dcterms:W3CDTF">2026-09-17T19:25:13Z</dcterms:modified>
</cp:coreProperties>
</file>