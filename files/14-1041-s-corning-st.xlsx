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326DFAE7-7B9E-4150-8FD8-F09C70669E53}" xr6:coauthVersionLast="47" xr6:coauthVersionMax="47" xr10:uidLastSave="{00000000-0000-0000-0000-000000000000}"/>
  <bookViews>
    <workbookView xWindow="-120" yWindow="-120" windowWidth="29040" windowHeight="15720" activeTab="1" xr2:uid="{6A0F63AB-A391-44B2-B0CA-16F2355589E6}"/>
  </bookViews>
  <sheets>
    <sheet name="Assumptions" sheetId="1" r:id="rId1"/>
    <sheet name="14 1041 S Corning St" sheetId="2" r:id="rId2"/>
  </sheets>
  <definedNames>
    <definedName name="_xlnm.Print_Area" localSheetId="1">'14 1041 S Corning St'!$A$1:$N$79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B55" i="2"/>
  <c r="B54" i="2"/>
  <c r="C53" i="2"/>
  <c r="D53" i="2" s="1"/>
  <c r="E53" i="2" s="1"/>
  <c r="C52" i="2"/>
  <c r="D52" i="2" s="1"/>
  <c r="E52" i="2" s="1"/>
  <c r="C51" i="2"/>
  <c r="D51" i="2" s="1"/>
  <c r="E51" i="2" s="1"/>
  <c r="C50" i="2"/>
  <c r="D50" i="2" s="1"/>
  <c r="E50" i="2" s="1"/>
  <c r="C49" i="2"/>
  <c r="D49" i="2" s="1"/>
  <c r="E49" i="2" s="1"/>
  <c r="C47" i="2"/>
  <c r="D47" i="2" s="1"/>
  <c r="E47" i="2" s="1"/>
  <c r="C46" i="2"/>
  <c r="B41" i="2"/>
  <c r="B40" i="2"/>
  <c r="B42" i="2" s="1"/>
  <c r="B34" i="2"/>
  <c r="E33" i="2"/>
  <c r="D33" i="2"/>
  <c r="D32" i="2"/>
  <c r="E32" i="2" s="1"/>
  <c r="D31" i="2"/>
  <c r="E31" i="2" s="1"/>
  <c r="E30" i="2"/>
  <c r="E34" i="2" s="1"/>
  <c r="C38" i="2" s="1"/>
  <c r="D30" i="2"/>
  <c r="B24" i="2"/>
  <c r="B23" i="2"/>
  <c r="C41" i="2" l="1"/>
  <c r="C63" i="2"/>
  <c r="C40" i="2"/>
  <c r="C42" i="2" s="1"/>
  <c r="C48" i="2" s="1"/>
  <c r="D48" i="2" s="1"/>
  <c r="E48" i="2" s="1"/>
  <c r="B56" i="2"/>
  <c r="B61" i="2"/>
  <c r="D34" i="2"/>
  <c r="C34" i="2" s="1"/>
  <c r="D46" i="2"/>
  <c r="D54" i="2" l="1"/>
  <c r="E46" i="2"/>
  <c r="C61" i="2"/>
  <c r="B62" i="2"/>
  <c r="B64" i="2"/>
  <c r="C54" i="2"/>
  <c r="C56" i="2" l="1"/>
  <c r="C55" i="2"/>
  <c r="C62" i="2"/>
  <c r="C64" i="2"/>
  <c r="B68" i="2"/>
  <c r="B69" i="2" s="1"/>
  <c r="D55" i="2"/>
  <c r="E54" i="2"/>
  <c r="B57" i="2"/>
  <c r="D56" i="2"/>
  <c r="B71" i="2" l="1"/>
  <c r="B70" i="2"/>
  <c r="B73" i="2" l="1"/>
  <c r="B74" i="2" s="1"/>
  <c r="B72" i="2"/>
</calcChain>
</file>

<file path=xl/sharedStrings.xml><?xml version="1.0" encoding="utf-8"?>
<sst xmlns="http://schemas.openxmlformats.org/spreadsheetml/2006/main" count="154" uniqueCount="144">
  <si>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</si>
  <si>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</si>
  <si>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</si>
  <si>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</si>
  <si>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</si>
  <si>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</si>
  <si>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</si>
  <si>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</si>
  <si>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</si>
  <si>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</si>
  <si>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</si>
  <si>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</si>
  <si>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</si>
  <si>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</si>
  <si>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</si>
  <si>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</si>
  <si>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</si>
  <si>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</si>
  <si>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</si>
  <si>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</si>
  <si>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</si>
  <si>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</si>
  <si>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</si>
  <si>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</si>
  <si>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</si>
  <si>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</si>
  <si>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</si>
  <si>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</si>
  <si>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</si>
  <si>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</si>
  <si>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</si>
  <si>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</si>
  <si>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</si>
  <si>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</si>
  <si>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</si>
  <si>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</si>
  <si>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</si>
  <si>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</si>
  <si>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</si>
  <si>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</si>
  <si>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</si>
  <si>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</si>
  <si>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</si>
  <si>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</si>
  <si>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</si>
  <si>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</si>
  <si>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</si>
  <si>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1041 S Corning St</t>
  </si>
  <si>
    <t>Los Angeles, CA 90035  |  Pico-Robertson / Beverlywood</t>
  </si>
  <si>
    <t>LoopNet listing</t>
  </si>
  <si>
    <t>Data pulled 9/17/2026 from LoopNet public listing + rent roll and expenses read from the listing broker's OM (Marcus &amp; Millichap, Jul 2026)</t>
  </si>
  <si>
    <t>NOTE: UNDER CONTRACT per Filip 9/17/26 (confirm which Corning listing). 15 units plus one non-conforming unit per listing | OM: Units 202 and 205 (2 Bd / 2 Ba) are vacant; OM carries them at $2,750 asking rent in current income, which is included in the current GSR of $36,747/mo; Unit count: 15 legal units plus 1 non-conforming single (unit 307, $1,331). Mix rows total 16 rented units; OM $/unit ($313,333) and per-unit expen | OM: Units 202 and 205 (2 Bd / 2 Ba) are vacant; OM carries them at $2,750 asking rent in current income, which is included in the current GSR of $36,747/mo; Unit count: 15 legal units plus 1 non-conforming single (unit 307, $1,331). Mix rows total 16 rented units; OM $/unit ($313,333) and per-unit expen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</si>
  <si>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</si>
  <si>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</si>
  <si>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</si>
  <si>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</si>
  <si>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</si>
  <si>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</si>
  <si>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</si>
  <si>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</si>
  <si>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</si>
  <si>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R3-1, Los Angeles</t>
  </si>
  <si>
    <t>Occupancy per listing</t>
  </si>
  <si>
    <t>APN</t>
  </si>
  <si>
    <t>4332-025-030</t>
  </si>
  <si>
    <t>Assessed value (current)</t>
  </si>
  <si>
    <t>Listing broker(s)</t>
  </si>
  <si>
    <t>Neema Ahadian, Jeffrey Estrada</t>
  </si>
  <si>
    <t>Date on market</t>
  </si>
  <si>
    <t>7/28/2026</t>
  </si>
  <si>
    <t>Listing last updated</t>
  </si>
  <si>
    <t>8/26/2026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</si>
  <si>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</si>
  <si>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</si>
  <si>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</si>
  <si>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</si>
  <si>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</si>
  <si>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</si>
  <si>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</si>
  <si>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</si>
  <si>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</si>
  <si>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</si>
  <si>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</si>
  <si>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</si>
  <si>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</si>
  <si>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/ 1 Ba (non-conforming)  (~650 SF)  [Unit 307, non-conforming single; excluded from the 15 legal ]</t>
  </si>
  <si>
    <t>OM rent roll, current in-place rents (OM Jul 2026)</t>
  </si>
  <si>
    <t>1 Bd / 1 Ba  (~750 SF)  [Units 101 ($2,137) and 103 ($1,850); total $3,987]</t>
  </si>
  <si>
    <t>2 Bd / 2 Ba  (~933 SF)  [11 units at 950 SF and unit 102 at 750 SF (OM avg 933 SF). T]</t>
  </si>
  <si>
    <t>3 Bd / 3 Ba  (~1200 SF)  [Unit 204]</t>
  </si>
  <si>
    <t>Total / weighted avg</t>
  </si>
  <si>
    <t>OM rent roll totals 16 units vs 15 in listing facts - verify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</si>
  <si>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</si>
  <si>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</si>
  <si>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</si>
  <si>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</si>
  <si>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</si>
  <si>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Jul 2026); LAAA column: OM rent roll by unit type</t>
  </si>
  <si>
    <t>Other income (laundry, parking, RUBS)</t>
  </si>
  <si>
    <t>Gross scheduled income</t>
  </si>
  <si>
    <t>Vacancy &amp; credit loss</t>
  </si>
  <si>
    <t>OM 5.0%;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</si>
  <si>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</si>
  <si>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</si>
  <si>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</si>
  <si>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</si>
  <si>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</si>
  <si>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</si>
  <si>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</si>
  <si>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</si>
  <si>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</si>
  <si>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</si>
  <si>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</si>
  <si>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</si>
  <si>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</si>
  <si>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</si>
  <si>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</si>
  <si>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</si>
  <si>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</si>
  <si>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</si>
  <si>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Elevator 3,332; Fire &amp; Safety 510; Telephone &amp; Internet 1,158; Direct Assessment 2,433; unallocated vs OM total -2,999</t>
  </si>
  <si>
    <t>Replacement reserves</t>
  </si>
  <si>
    <t>Total operating expenses</t>
  </si>
  <si>
    <t>OM line items from OM (OM Jul 2026); basis: OM 'Estimated Annualized Expenses', Current Rents column (broker estimate, not stated as owner actuals). Taxes reset at 1.20% of $4,700,000 list price. Management 4% of Gross Operating Income (EGI basis). Utilities is a single combined line (water/sewer and gas/electric not split; OM notes separate gas and electric meters). Reserves $3,000 sit below NOI in the OM and are NOT in total_claimed. Total per OM = 37.4% of EGI, $11,172 per legal unit (15), $10.32 per SF.; OM total 167,586</t>
  </si>
  <si>
    <t>Expenses per unit</t>
  </si>
  <si>
    <t>Expenses as % of EGI</t>
  </si>
  <si>
    <t>OM expense test</t>
  </si>
  <si>
    <t>NOI &amp; RETURNS</t>
  </si>
  <si>
    <t>Net operating income</t>
  </si>
  <si>
    <t>OM states NOI 258,575 / cap 5.5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</si>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</sst>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3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i/>
      <sz val="11"/>
      <color rgb="FFC00000"/>
      <name val="Calibri"/>
      <family val="2"/>
      <scheme val="minor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11" fillId="0" borderId="0" xfId="0" applyFont="1"/>
    <xf numFmtId="0" fontId="8" fillId="4" borderId="0" xfId="0" applyFont="1" applyFill="1"/>
    <xf numFmtId="164" fontId="0" fillId="6" borderId="0" xfId="0" applyNumberFormat="1" applyFill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3086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F880A71-3891-4301-B2A0-6C5DEA708446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30861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041-S-Corning-St-Los-Angeles-CA/4146569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4AAD-2F3D-4B37-AE50-4DCC7CF289FD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783D-FD7D-413B-81B4-312C88D3B3DA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15</v>
      </c>
    </row>
    <row r="8" spans="1:3" x14ac:dyDescent="0.25">
      <c r="A8" t="s">
        <v>54</v>
      </c>
      <c r="B8" s="15">
        <v>16234</v>
      </c>
    </row>
    <row r="9" spans="1:3" x14ac:dyDescent="0.25">
      <c r="A9" t="s">
        <v>55</v>
      </c>
      <c r="B9" s="15">
        <v>12197</v>
      </c>
    </row>
    <row r="10" spans="1:3" x14ac:dyDescent="0.25">
      <c r="A10" t="s">
        <v>56</v>
      </c>
      <c r="B10" s="16">
        <v>0.28000000000000003</v>
      </c>
    </row>
    <row r="11" spans="1:3" x14ac:dyDescent="0.25">
      <c r="A11" t="s">
        <v>57</v>
      </c>
      <c r="B11">
        <v>1962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2625924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4700000</v>
      </c>
    </row>
    <row r="23" spans="1:6" x14ac:dyDescent="0.25">
      <c r="A23" t="s">
        <v>74</v>
      </c>
      <c r="B23" s="8">
        <f>IFERROR(B22/B7,"")</f>
        <v>313333.33333333331</v>
      </c>
    </row>
    <row r="24" spans="1:6" x14ac:dyDescent="0.25">
      <c r="A24" t="s">
        <v>75</v>
      </c>
      <c r="B24" s="17">
        <f>IFERROR(B22/B8,"")</f>
        <v>289.515830972034</v>
      </c>
    </row>
    <row r="25" spans="1:6" x14ac:dyDescent="0.25">
      <c r="A25" t="s">
        <v>76</v>
      </c>
      <c r="B25" s="18">
        <v>5.5E-2</v>
      </c>
    </row>
    <row r="26" spans="1:6" x14ac:dyDescent="0.25">
      <c r="A26" t="s">
        <v>77</v>
      </c>
      <c r="B26" s="19">
        <v>10.48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1</v>
      </c>
      <c r="C30" s="21">
        <v>1331</v>
      </c>
      <c r="D30" s="22">
        <f>B30*C30</f>
        <v>1331</v>
      </c>
      <c r="E30" s="22">
        <f>D30*12</f>
        <v>15972</v>
      </c>
      <c r="F30" s="23" t="s">
        <v>86</v>
      </c>
    </row>
    <row r="31" spans="1:6" x14ac:dyDescent="0.25">
      <c r="A31" t="s">
        <v>87</v>
      </c>
      <c r="B31" s="15">
        <v>2</v>
      </c>
      <c r="C31" s="21">
        <v>1994</v>
      </c>
      <c r="D31" s="22">
        <f>B31*C31</f>
        <v>3988</v>
      </c>
      <c r="E31" s="22">
        <f>D31*12</f>
        <v>47856</v>
      </c>
      <c r="F31" s="23" t="s">
        <v>86</v>
      </c>
    </row>
    <row r="32" spans="1:6" x14ac:dyDescent="0.25">
      <c r="A32" t="s">
        <v>88</v>
      </c>
      <c r="B32" s="15">
        <v>12</v>
      </c>
      <c r="C32" s="21">
        <v>2336</v>
      </c>
      <c r="D32" s="22">
        <f>B32*C32</f>
        <v>28032</v>
      </c>
      <c r="E32" s="22">
        <f>D32*12</f>
        <v>336384</v>
      </c>
      <c r="F32" s="23" t="s">
        <v>86</v>
      </c>
    </row>
    <row r="33" spans="1:6" x14ac:dyDescent="0.25">
      <c r="A33" t="s">
        <v>89</v>
      </c>
      <c r="B33" s="15">
        <v>1</v>
      </c>
      <c r="C33" s="21">
        <v>3395</v>
      </c>
      <c r="D33" s="22">
        <f>B33*C33</f>
        <v>3395</v>
      </c>
      <c r="E33" s="22">
        <f>D33*12</f>
        <v>40740</v>
      </c>
      <c r="F33" s="23" t="s">
        <v>86</v>
      </c>
    </row>
    <row r="34" spans="1:6" x14ac:dyDescent="0.25">
      <c r="A34" s="24" t="s">
        <v>90</v>
      </c>
      <c r="B34" s="25">
        <f>SUM(B30:B33)</f>
        <v>16</v>
      </c>
      <c r="C34" s="26">
        <f>IFERROR(D34/B34,"")</f>
        <v>2296.625</v>
      </c>
      <c r="D34" s="26">
        <f>SUM(D30:D33)</f>
        <v>36746</v>
      </c>
      <c r="E34" s="26">
        <f>SUM(E30:E33)</f>
        <v>440952</v>
      </c>
    </row>
    <row r="35" spans="1:6" x14ac:dyDescent="0.25">
      <c r="A35" s="27" t="s">
        <v>91</v>
      </c>
    </row>
    <row r="36" spans="1:6" x14ac:dyDescent="0.25">
      <c r="A36" s="13" t="s">
        <v>92</v>
      </c>
      <c r="B36" s="14"/>
      <c r="C36" s="14"/>
      <c r="D36" s="14"/>
      <c r="E36" s="14"/>
      <c r="F36" s="14"/>
    </row>
    <row r="37" spans="1:6" x14ac:dyDescent="0.25">
      <c r="A37" s="28"/>
      <c r="B37" s="28" t="s">
        <v>93</v>
      </c>
      <c r="C37" s="28" t="s">
        <v>94</v>
      </c>
      <c r="D37" s="28"/>
      <c r="E37" s="28"/>
      <c r="F37" s="28" t="s">
        <v>95</v>
      </c>
    </row>
    <row r="38" spans="1:6" x14ac:dyDescent="0.25">
      <c r="A38" t="s">
        <v>96</v>
      </c>
      <c r="B38" s="22">
        <v>440964</v>
      </c>
      <c r="C38" s="8">
        <f>E34</f>
        <v>440952</v>
      </c>
      <c r="F38" s="2" t="s">
        <v>97</v>
      </c>
    </row>
    <row r="39" spans="1:6" x14ac:dyDescent="0.25">
      <c r="A39" t="s">
        <v>98</v>
      </c>
      <c r="B39" s="8">
        <v>7632</v>
      </c>
      <c r="C39" s="4">
        <v>7632</v>
      </c>
    </row>
    <row r="40" spans="1:6" x14ac:dyDescent="0.25">
      <c r="A40" s="24" t="s">
        <v>99</v>
      </c>
      <c r="B40" s="8">
        <f>B38+B39</f>
        <v>448596</v>
      </c>
      <c r="C40" s="8">
        <f>C38+C39</f>
        <v>448584</v>
      </c>
    </row>
    <row r="41" spans="1:6" x14ac:dyDescent="0.25">
      <c r="A41" t="s">
        <v>100</v>
      </c>
      <c r="B41" s="8">
        <f>-B38*0.05</f>
        <v>-22048.2</v>
      </c>
      <c r="C41" s="8">
        <f>-C38*Assumptions!$B$3</f>
        <v>-13228.56</v>
      </c>
      <c r="F41" s="2" t="s">
        <v>101</v>
      </c>
    </row>
    <row r="42" spans="1:6" x14ac:dyDescent="0.25">
      <c r="A42" s="24" t="s">
        <v>102</v>
      </c>
      <c r="B42" s="26">
        <f>B40+B41</f>
        <v>426547.8</v>
      </c>
      <c r="C42" s="26">
        <f>C40+C41</f>
        <v>435355.44</v>
      </c>
    </row>
    <row r="44" spans="1:6" x14ac:dyDescent="0.25">
      <c r="A44" s="13" t="s">
        <v>103</v>
      </c>
      <c r="B44" s="14"/>
      <c r="C44" s="14"/>
      <c r="D44" s="14"/>
      <c r="E44" s="14"/>
      <c r="F44" s="14"/>
    </row>
    <row r="45" spans="1:6" x14ac:dyDescent="0.25">
      <c r="A45" s="28" t="s">
        <v>104</v>
      </c>
      <c r="B45" s="28" t="s">
        <v>93</v>
      </c>
      <c r="C45" s="28" t="s">
        <v>105</v>
      </c>
      <c r="D45" s="28" t="s">
        <v>94</v>
      </c>
      <c r="E45" s="28" t="s">
        <v>106</v>
      </c>
      <c r="F45" s="28" t="s">
        <v>95</v>
      </c>
    </row>
    <row r="46" spans="1:6" x14ac:dyDescent="0.25">
      <c r="A46" t="s">
        <v>107</v>
      </c>
      <c r="B46" s="22">
        <v>56400</v>
      </c>
      <c r="C46" s="8">
        <f>B22*Assumptions!$B$15</f>
        <v>58750</v>
      </c>
      <c r="D46" s="29">
        <f>C46</f>
        <v>58750</v>
      </c>
      <c r="E46" s="8">
        <f t="shared" ref="E46:E54" si="0">IF(ISNUMBER(B46),D46-B46,"")</f>
        <v>2350</v>
      </c>
      <c r="F46" s="2" t="s">
        <v>108</v>
      </c>
    </row>
    <row r="47" spans="1:6" x14ac:dyDescent="0.25">
      <c r="A47" t="s">
        <v>109</v>
      </c>
      <c r="B47" s="22">
        <v>26536</v>
      </c>
      <c r="C47" s="8">
        <f>B7*Assumptions!$B$5+B8*Assumptions!$B$6</f>
        <v>19234</v>
      </c>
      <c r="D47" s="29">
        <f t="shared" ref="D47:D53" si="1">IF(ISNUMBER(B47),MAX(B47,C47),C47)</f>
        <v>26536</v>
      </c>
      <c r="E47" s="8">
        <f t="shared" si="0"/>
        <v>0</v>
      </c>
      <c r="F47" s="2" t="s">
        <v>110</v>
      </c>
    </row>
    <row r="48" spans="1:6" x14ac:dyDescent="0.25">
      <c r="A48" t="s">
        <v>111</v>
      </c>
      <c r="B48" s="22">
        <v>17046</v>
      </c>
      <c r="C48" s="8">
        <f>C42*Assumptions!$B$4</f>
        <v>21767.772000000001</v>
      </c>
      <c r="D48" s="29">
        <f t="shared" si="1"/>
        <v>21767.772000000001</v>
      </c>
      <c r="E48" s="8">
        <f t="shared" si="0"/>
        <v>4721.7720000000008</v>
      </c>
      <c r="F48" s="2" t="s">
        <v>112</v>
      </c>
    </row>
    <row r="49" spans="1:6" x14ac:dyDescent="0.25">
      <c r="A49" t="s">
        <v>113</v>
      </c>
      <c r="B49" s="22">
        <v>11250</v>
      </c>
      <c r="C49" s="8">
        <f>B7*Assumptions!$B$7</f>
        <v>18000</v>
      </c>
      <c r="D49" s="29">
        <f t="shared" si="1"/>
        <v>18000</v>
      </c>
      <c r="E49" s="8">
        <f t="shared" si="0"/>
        <v>6750</v>
      </c>
      <c r="F49" s="2" t="s">
        <v>114</v>
      </c>
    </row>
    <row r="50" spans="1:6" x14ac:dyDescent="0.25">
      <c r="A50" t="s">
        <v>115</v>
      </c>
      <c r="B50" s="22">
        <v>46462</v>
      </c>
      <c r="C50" s="8">
        <f>B7*Assumptions!$B$9</f>
        <v>22500</v>
      </c>
      <c r="D50" s="29">
        <f t="shared" si="1"/>
        <v>46462</v>
      </c>
      <c r="E50" s="8">
        <f t="shared" si="0"/>
        <v>0</v>
      </c>
      <c r="F50" s="2" t="s">
        <v>116</v>
      </c>
    </row>
    <row r="51" spans="1:6" x14ac:dyDescent="0.25">
      <c r="A51" t="s">
        <v>117</v>
      </c>
      <c r="B51" s="22">
        <v>2458</v>
      </c>
      <c r="C51" s="8">
        <f>B7*Assumptions!$B$12</f>
        <v>6000</v>
      </c>
      <c r="D51" s="29">
        <f t="shared" si="1"/>
        <v>6000</v>
      </c>
      <c r="E51" s="8">
        <f t="shared" si="0"/>
        <v>3542</v>
      </c>
      <c r="F51" s="2" t="s">
        <v>118</v>
      </c>
    </row>
    <row r="52" spans="1:6" x14ac:dyDescent="0.25">
      <c r="A52" t="s">
        <v>119</v>
      </c>
      <c r="B52" s="22">
        <v>4434</v>
      </c>
      <c r="C52" s="8">
        <f>B7*Assumptions!$B$13</f>
        <v>3750</v>
      </c>
      <c r="D52" s="29">
        <f t="shared" si="1"/>
        <v>4434</v>
      </c>
      <c r="E52" s="8">
        <f t="shared" si="0"/>
        <v>0</v>
      </c>
      <c r="F52" s="2" t="s">
        <v>120</v>
      </c>
    </row>
    <row r="53" spans="1:6" x14ac:dyDescent="0.25">
      <c r="A53" t="s">
        <v>121</v>
      </c>
      <c r="B53" s="22">
        <v>3000</v>
      </c>
      <c r="C53" s="8">
        <f>B7*Assumptions!$B$14</f>
        <v>4500</v>
      </c>
      <c r="D53" s="29">
        <f t="shared" si="1"/>
        <v>4500</v>
      </c>
      <c r="E53" s="8">
        <f t="shared" si="0"/>
        <v>1500</v>
      </c>
      <c r="F53" s="2" t="s">
        <v>118</v>
      </c>
    </row>
    <row r="54" spans="1:6" x14ac:dyDescent="0.25">
      <c r="A54" s="24" t="s">
        <v>122</v>
      </c>
      <c r="B54" s="26">
        <f>SUM(B46:B53)</f>
        <v>167586</v>
      </c>
      <c r="C54" s="26">
        <f>SUM(C46:C53)</f>
        <v>154501.772</v>
      </c>
      <c r="D54" s="26">
        <f>SUM(D46:D53)</f>
        <v>186449.772</v>
      </c>
      <c r="E54" s="26">
        <f t="shared" si="0"/>
        <v>18863.771999999997</v>
      </c>
      <c r="F54" s="2" t="s">
        <v>123</v>
      </c>
    </row>
    <row r="55" spans="1:6" x14ac:dyDescent="0.25">
      <c r="A55" t="s">
        <v>124</v>
      </c>
      <c r="B55" s="8">
        <f>IFERROR(B54/B7,"")</f>
        <v>11172.4</v>
      </c>
      <c r="C55" s="8">
        <f>IFERROR(C54/B7,"")</f>
        <v>10300.118133333333</v>
      </c>
      <c r="D55" s="8">
        <f>IFERROR(D54/B7,"")</f>
        <v>12429.9848</v>
      </c>
    </row>
    <row r="56" spans="1:6" x14ac:dyDescent="0.25">
      <c r="A56" t="s">
        <v>125</v>
      </c>
      <c r="B56" s="18">
        <f>IFERROR(B54/B42,"")</f>
        <v>0.39288914395995012</v>
      </c>
      <c r="C56" s="18">
        <f>IFERROR(C54/C42,"")</f>
        <v>0.35488650836658892</v>
      </c>
      <c r="D56" s="18">
        <f>IF(C38&gt;0,IFERROR(D54/C42,""),"")</f>
        <v>0.42827022444005752</v>
      </c>
    </row>
    <row r="57" spans="1:6" x14ac:dyDescent="0.25">
      <c r="A57" s="24" t="s">
        <v>126</v>
      </c>
      <c r="B57" s="30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127</v>
      </c>
      <c r="B59" s="14"/>
      <c r="C59" s="14"/>
      <c r="D59" s="14"/>
      <c r="E59" s="14"/>
      <c r="F59" s="14"/>
    </row>
    <row r="60" spans="1:6" x14ac:dyDescent="0.25">
      <c r="A60" s="28"/>
      <c r="B60" s="28" t="s">
        <v>93</v>
      </c>
      <c r="C60" s="28" t="s">
        <v>94</v>
      </c>
      <c r="D60" s="28"/>
      <c r="E60" s="28"/>
      <c r="F60" s="28" t="s">
        <v>95</v>
      </c>
    </row>
    <row r="61" spans="1:6" x14ac:dyDescent="0.25">
      <c r="A61" s="24" t="s">
        <v>128</v>
      </c>
      <c r="B61" s="26">
        <f>B42-B54</f>
        <v>258961.8</v>
      </c>
      <c r="C61" s="26">
        <f>IF(C38&gt;0,C42-D54,"")</f>
        <v>248905.66800000001</v>
      </c>
      <c r="F61" t="s">
        <v>129</v>
      </c>
    </row>
    <row r="62" spans="1:6" x14ac:dyDescent="0.25">
      <c r="A62" s="24" t="s">
        <v>130</v>
      </c>
      <c r="B62" s="18">
        <f>IFERROR(B61/B22,"")</f>
        <v>5.5098255319148935E-2</v>
      </c>
      <c r="C62" s="18">
        <f>IF(C61="","",IFERROR(C61/B22,""))</f>
        <v>5.2958652765957445E-2</v>
      </c>
      <c r="F62" s="2" t="s">
        <v>131</v>
      </c>
    </row>
    <row r="63" spans="1:6" x14ac:dyDescent="0.25">
      <c r="A63" t="s">
        <v>132</v>
      </c>
      <c r="B63" s="19">
        <f>IFERROR(B22/B38,"")</f>
        <v>10.658466450776027</v>
      </c>
      <c r="C63" s="19">
        <f>IF(C38&gt;0,IFERROR(B22/C38,""),"")</f>
        <v>10.658756508644933</v>
      </c>
    </row>
    <row r="64" spans="1:6" x14ac:dyDescent="0.25">
      <c r="A64" t="s">
        <v>133</v>
      </c>
      <c r="B64" s="8">
        <f>IFERROR(B61/B7,"")</f>
        <v>17264.12</v>
      </c>
      <c r="C64" s="8">
        <f>IF(C61="","",IFERROR(C61/B7,""))</f>
        <v>16593.711200000002</v>
      </c>
    </row>
    <row r="66" spans="1:6" x14ac:dyDescent="0.25">
      <c r="A66" s="13" t="s">
        <v>134</v>
      </c>
      <c r="B66" s="14"/>
      <c r="C66" s="14"/>
      <c r="D66" s="14"/>
      <c r="E66" s="14"/>
      <c r="F66" s="14"/>
    </row>
    <row r="67" spans="1:6" x14ac:dyDescent="0.25">
      <c r="A67" t="s">
        <v>135</v>
      </c>
      <c r="B67" s="8">
        <f>IFERROR(B22*Assumptions!$B$20,"")</f>
        <v>2820000</v>
      </c>
    </row>
    <row r="68" spans="1:6" x14ac:dyDescent="0.25">
      <c r="A68" t="s">
        <v>136</v>
      </c>
      <c r="B68" s="8">
        <f>IF(C61="","",IFERROR(PV(Assumptions!$B$22/12,Assumptions!$B$23*12,-C61/Assumptions!$B$21/12),""))</f>
        <v>2695021.5437393347</v>
      </c>
    </row>
    <row r="69" spans="1:6" x14ac:dyDescent="0.25">
      <c r="A69" s="24" t="s">
        <v>137</v>
      </c>
      <c r="B69" s="8">
        <f>IFERROR(MIN(B67,B68),"")</f>
        <v>2695021.5437393347</v>
      </c>
    </row>
    <row r="70" spans="1:6" x14ac:dyDescent="0.25">
      <c r="A70" t="s">
        <v>138</v>
      </c>
      <c r="B70" s="8">
        <f>IFERROR(B22-B69,"")</f>
        <v>2004978.4562606653</v>
      </c>
    </row>
    <row r="71" spans="1:6" x14ac:dyDescent="0.25">
      <c r="A71" t="s">
        <v>139</v>
      </c>
      <c r="B71" s="8">
        <f>IFERROR(-PMT(Assumptions!$B$22/12,Assumptions!$B$23*12,B69)*12,"")</f>
        <v>199124.53439999942</v>
      </c>
    </row>
    <row r="72" spans="1:6" x14ac:dyDescent="0.25">
      <c r="A72" t="s">
        <v>140</v>
      </c>
      <c r="B72" s="19">
        <f>IFERROR(C61/B71,"")</f>
        <v>1.2500000000000036</v>
      </c>
    </row>
    <row r="73" spans="1:6" x14ac:dyDescent="0.25">
      <c r="A73" t="s">
        <v>141</v>
      </c>
      <c r="B73" s="8">
        <f>IFERROR(C61-B71,"")</f>
        <v>49781.133600000583</v>
      </c>
    </row>
    <row r="74" spans="1:6" x14ac:dyDescent="0.25">
      <c r="A74" t="s">
        <v>142</v>
      </c>
      <c r="B74" s="18">
        <f>IFERROR(B73/B70,"")</f>
        <v>2.4828762346326472E-2</v>
      </c>
    </row>
    <row r="76" spans="1:6" x14ac:dyDescent="0.25">
      <c r="A76" s="2" t="s">
        <v>143</v>
      </c>
    </row>
  </sheetData>
  <hyperlinks>
    <hyperlink ref="A3" r:id="rId1" xr:uid="{68DC511A-35B7-41C6-A2D0-3027B20F5753}"/>
  </hyperlinks>
  <printOptions horizontalCentered="1"/>
  <pageMargins left="0.25" right="0.25" top="0.25" bottom="0.25" header="0.5" footer="0.5"/>
  <pageSetup scale="5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Assumptions</vt:lpstr>
      <vt:lpstr>14 1041 S Corning St</vt:lpstr>
      <vt:lpstr>'14 1041 S Corning 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2026-09-17T20:31:32Z</dcterms:created>
  <dcterms:modified xsi:type="dcterms:W3CDTF">2026-09-17T20:31:33Z</dcterms:modified>
</cp:coreProperties>
</file>