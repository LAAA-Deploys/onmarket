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5F925DF-1DA0-47A1-B2B7-44444FE49FD3}" xr6:coauthVersionLast="47" xr6:coauthVersionMax="47" xr10:uidLastSave="{00000000-0000-0000-0000-000000000000}"/>
  <bookViews>
    <workbookView xWindow="-120" yWindow="-120" windowWidth="29040" windowHeight="15720" activeTab="1" xr2:uid="{0FB7AB8E-E91A-4826-8E9C-AE1E3B28B9AB}"/>
  </bookViews>
  <sheets>
    <sheet name="Assumptions" sheetId="1" r:id="rId1"/>
    <sheet name="17 900 N Orange Grove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5" i="2"/>
  <c r="B54" i="2"/>
  <c r="E53" i="2"/>
  <c r="C53" i="2"/>
  <c r="D53" i="2" s="1"/>
  <c r="D52" i="2"/>
  <c r="E52" i="2" s="1"/>
  <c r="C52" i="2"/>
  <c r="C51" i="2"/>
  <c r="D51" i="2" s="1"/>
  <c r="E51" i="2" s="1"/>
  <c r="D50" i="2"/>
  <c r="E50" i="2" s="1"/>
  <c r="C50" i="2"/>
  <c r="C49" i="2"/>
  <c r="D49" i="2" s="1"/>
  <c r="E49" i="2" s="1"/>
  <c r="C47" i="2"/>
  <c r="D47" i="2" s="1"/>
  <c r="E47" i="2" s="1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E34" i="2" s="1"/>
  <c r="C38" i="2" s="1"/>
  <c r="B24" i="2"/>
  <c r="B23" i="2"/>
  <c r="B61" i="2" l="1"/>
  <c r="B56" i="2"/>
  <c r="C41" i="2"/>
  <c r="C40" i="2"/>
  <c r="C42" i="2" s="1"/>
  <c r="C48" i="2" s="1"/>
  <c r="D48" i="2" s="1"/>
  <c r="E48" i="2" s="1"/>
  <c r="C63" i="2"/>
  <c r="E46" i="2"/>
  <c r="D54" i="2" l="1"/>
  <c r="C61" i="2"/>
  <c r="C54" i="2"/>
  <c r="B62" i="2"/>
  <c r="B64" i="2"/>
  <c r="C56" i="2" l="1"/>
  <c r="C55" i="2"/>
  <c r="C62" i="2"/>
  <c r="B68" i="2"/>
  <c r="B69" i="2" s="1"/>
  <c r="C64" i="2"/>
  <c r="B57" i="2"/>
  <c r="E54" i="2"/>
  <c r="D55" i="2"/>
  <c r="D56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<sst xmlns="http://schemas.openxmlformats.org/spreadsheetml/2006/main" count="153" uniqueCount="143">
  <si>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</si>
  <si>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</si>
  <si>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</si>
  <si>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</si>
  <si>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</si>
  <si>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</si>
  <si>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</si>
  <si>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</si>
  <si>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</si>
  <si>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</si>
  <si>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</si>
  <si>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</si>
  <si>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</si>
  <si>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</si>
  <si>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</si>
  <si>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</si>
  <si>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</si>
  <si>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</si>
  <si>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</si>
  <si>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</si>
  <si>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</si>
  <si>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</si>
  <si>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</si>
  <si>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</si>
  <si>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</si>
  <si>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</si>
  <si>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</si>
  <si>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</si>
  <si>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</si>
  <si>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</si>
  <si>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</si>
  <si>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</si>
  <si>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</si>
  <si>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</si>
  <si>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</si>
  <si>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</si>
  <si>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</si>
  <si>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</si>
  <si>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</si>
  <si>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</si>
  <si>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</si>
  <si>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</si>
  <si>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</si>
  <si>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</si>
  <si>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</si>
  <si>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</si>
  <si>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</si>
  <si>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900 N Orange Grove Ave</t>
  </si>
  <si>
    <t>West Hollywood, CA 90046  |  West Hollywood</t>
  </si>
  <si>
    <t>LoopNet listing</t>
  </si>
  <si>
    <t>Data pulled 9/17/2026 from LoopNet public listing + rent roll and expenses read from the listing broker's OM (Marcus &amp; Millichap, Aug 2026)</t>
  </si>
  <si>
    <t>NOTE: First sale in 38 years | OM: Unit 21 (1 Bd / 1 Ba) is vacant; OM asking rent $2,300 used as its current rent, per OM convention (OM totals include it in scheduled rent).; Cross-check: sum of 20 unit rents = $33,311/mo ($399,732/yr) vs OM stated $33,310/mo and $399,722/yr GPR; difference is rounding, well within 1%.; Rent roll f | OM: Unit 21 (1 Bd / 1 Ba) is vacant; OM asking rent $2,300 used as its current rent, per OM convention (OM totals include it in scheduled rent).; Cross-check: sum of 20 unit rents = $33,311/mo ($399,732/yr) vs OM stated $33,310/mo and $399,722/yr GPR; difference is rounding, well within 1%.; Rent roll f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</si>
  <si>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</si>
  <si>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</si>
  <si>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</si>
  <si>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</si>
  <si>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</si>
  <si>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</si>
  <si>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</si>
  <si>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</si>
  <si>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</si>
  <si>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WDR3C* - Restricted Density Multiple Dwelling</t>
  </si>
  <si>
    <t>Occupancy per listing</t>
  </si>
  <si>
    <t>APN</t>
  </si>
  <si>
    <t>5530-026-019</t>
  </si>
  <si>
    <t>Assessed value (current)</t>
  </si>
  <si>
    <t>Listing broker(s)</t>
  </si>
  <si>
    <t>Jordan Asheghian, Tony Azzi</t>
  </si>
  <si>
    <t>Date on market</t>
  </si>
  <si>
    <t>8/27/2026</t>
  </si>
  <si>
    <t>Listing last updated</t>
  </si>
  <si>
    <t>8/31/2026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</si>
  <si>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</si>
  <si>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</si>
  <si>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</si>
  <si>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</si>
  <si>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</si>
  <si>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</si>
  <si>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</si>
  <si>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</si>
  <si>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</si>
  <si>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</si>
  <si>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</si>
  <si>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</si>
  <si>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</si>
  <si>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/ 1 Ba  (~520 SF)  [units 5, 6, 16, 17; range $833 to $1,575]</t>
  </si>
  <si>
    <t>OM rent roll, current in-place rents (OM Aug 2026)</t>
  </si>
  <si>
    <t>1 Bd / 1 Ba  (~720 SF)  [units 1-3, 8-12, 14, 15, 19-21; unit 8 is 900 SF, rest 720 S]</t>
  </si>
  <si>
    <t>2 Bd / 1 Ba  (~900 SF)  [units 7, 18]</t>
  </si>
  <si>
    <t>2 Bd / 2 Ba  (~900 SF)  [unit 4]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</si>
  <si>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</si>
  <si>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</si>
  <si>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</si>
  <si>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</si>
  <si>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</si>
  <si>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</si>
  <si>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stated current scheduled rent (OM Aug 2026); LAAA column: OM rent roll by unit type</t>
  </si>
  <si>
    <t>Other income (laundry, parking, RUBS)</t>
  </si>
  <si>
    <t>Gross scheduled income</t>
  </si>
  <si>
    <t>Vacancy &amp; credit loss</t>
  </si>
  <si>
    <t>OM 2.0%;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</si>
  <si>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</si>
  <si>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</si>
  <si>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</si>
  <si>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</si>
  <si>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</si>
  <si>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</si>
  <si>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</si>
  <si>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</si>
  <si>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</si>
  <si>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</si>
  <si>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</si>
  <si>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</si>
  <si>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</si>
  <si>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</si>
  <si>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city; OM utilities + water/sewer + gas/electric + trash combined</t>
  </si>
  <si>
    <t>Contract services (landscape, pest, cleaning)</t>
  </si>
  <si>
    <t>per unit</t>
  </si>
  <si>
    <t>Admin / legal / licenses / rent registration / other OM items</t>
  </si>
  <si>
    <t>OM other items: On Site Manager 13,200; Pool 4,320; Rent Registration 2,880</t>
  </si>
  <si>
    <t>Replacement reserves</t>
  </si>
  <si>
    <t>Total operating expenses</t>
  </si>
  <si>
    <t>OM line items from OM (OM Aug 2026); basis: OM 'Current' column on the Income and Expense page (p29) and Financial Overview (p30); taxes, R&amp;M and off-site management are marked '*Estimated' by the OM (taxes = 1.1751% of list price; off-site management = 4.0% of GPR); other lines are presented as actuals. Utilities is one combined line (power, gas and water; water master metered, gas and electric separately metered). Pro forma column differs only in management ($22,502).; OM total 174,070</t>
  </si>
  <si>
    <t>Expenses per unit</t>
  </si>
  <si>
    <t>Expenses as % of EGI</t>
  </si>
  <si>
    <t>OM expense test</t>
  </si>
  <si>
    <t>NOI &amp; RETURNS</t>
  </si>
  <si>
    <t>Net operating income</t>
  </si>
  <si>
    <t>OM states NOI 220,658 / cap 5.32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</si>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</sst>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\$#,##0.00"/>
    <numFmt numFmtId="166" formatCode="0.00&quot;x&quot;"/>
    <numFmt numFmtId="167" formatCode="&quot;$&quot;#,##0;\(&quot;$&quot;#,##0\);&quot;-&quot;"/>
  </numFmts>
  <fonts count="12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  <family val="2"/>
    </font>
    <font>
      <b/>
      <sz val="10"/>
      <color rgb="FFFFFFFF"/>
      <name val="Calibri"/>
    </font>
    <font>
      <i/>
      <sz val="9"/>
      <color rgb="FF595959"/>
      <name val="Calibri"/>
      <family val="2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2CC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7" fontId="0" fillId="5" borderId="1" xfId="0" applyNumberFormat="1" applyFill="1" applyBorder="1"/>
    <xf numFmtId="167" fontId="0" fillId="0" borderId="0" xfId="0" applyNumberForma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164" fontId="10" fillId="0" borderId="0" xfId="0" applyNumberFormat="1" applyFont="1"/>
    <xf numFmtId="0" fontId="8" fillId="4" borderId="0" xfId="0" applyFont="1" applyFill="1"/>
    <xf numFmtId="164" fontId="0" fillId="6" borderId="0" xfId="0" applyNumberForma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9CC0E20-B427-41A2-9D1C-C18C64CC5E2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00-N-Orange-Grove-Ave-West-Hollywood-CA/41907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AEB5-6C91-4B81-88F9-9E5B6EE5369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1786-7E80-43FA-9620-D8F810E020DE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20</v>
      </c>
    </row>
    <row r="8" spans="1:3" x14ac:dyDescent="0.25">
      <c r="A8" t="s">
        <v>54</v>
      </c>
      <c r="B8" s="15">
        <v>14556</v>
      </c>
    </row>
    <row r="9" spans="1:3" x14ac:dyDescent="0.25">
      <c r="A9" t="s">
        <v>55</v>
      </c>
      <c r="B9" s="15">
        <v>12632</v>
      </c>
    </row>
    <row r="10" spans="1:3" x14ac:dyDescent="0.25">
      <c r="A10" t="s">
        <v>56</v>
      </c>
      <c r="B10" s="16">
        <v>0.28999999999999998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3261097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4150000</v>
      </c>
    </row>
    <row r="23" spans="1:6" x14ac:dyDescent="0.25">
      <c r="A23" t="s">
        <v>74</v>
      </c>
      <c r="B23" s="8">
        <f>IFERROR(B22/B7,"")</f>
        <v>207500</v>
      </c>
    </row>
    <row r="24" spans="1:6" x14ac:dyDescent="0.25">
      <c r="A24" t="s">
        <v>75</v>
      </c>
      <c r="B24" s="17">
        <f>IFERROR(B22/B8,"")</f>
        <v>285.10579829623521</v>
      </c>
    </row>
    <row r="25" spans="1:6" x14ac:dyDescent="0.25">
      <c r="A25" t="s">
        <v>76</v>
      </c>
      <c r="B25" s="18">
        <v>5.3199999999999997E-2</v>
      </c>
    </row>
    <row r="26" spans="1:6" x14ac:dyDescent="0.25">
      <c r="A26" t="s">
        <v>77</v>
      </c>
      <c r="B26" s="19">
        <v>10.38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4</v>
      </c>
      <c r="C30" s="21">
        <v>1194</v>
      </c>
      <c r="D30" s="22">
        <f>B30*C30</f>
        <v>4776</v>
      </c>
      <c r="E30" s="22">
        <f>D30*12</f>
        <v>57312</v>
      </c>
      <c r="F30" s="23" t="s">
        <v>86</v>
      </c>
    </row>
    <row r="31" spans="1:6" x14ac:dyDescent="0.25">
      <c r="A31" t="s">
        <v>87</v>
      </c>
      <c r="B31" s="15">
        <v>13</v>
      </c>
      <c r="C31" s="21">
        <v>1622</v>
      </c>
      <c r="D31" s="22">
        <f>B31*C31</f>
        <v>21086</v>
      </c>
      <c r="E31" s="22">
        <f>D31*12</f>
        <v>253032</v>
      </c>
      <c r="F31" s="23" t="s">
        <v>86</v>
      </c>
    </row>
    <row r="32" spans="1:6" x14ac:dyDescent="0.25">
      <c r="A32" t="s">
        <v>88</v>
      </c>
      <c r="B32" s="15">
        <v>2</v>
      </c>
      <c r="C32" s="21">
        <v>2545</v>
      </c>
      <c r="D32" s="22">
        <f>B32*C32</f>
        <v>5090</v>
      </c>
      <c r="E32" s="22">
        <f>D32*12</f>
        <v>61080</v>
      </c>
      <c r="F32" s="23" t="s">
        <v>86</v>
      </c>
    </row>
    <row r="33" spans="1:6" x14ac:dyDescent="0.25">
      <c r="A33" t="s">
        <v>89</v>
      </c>
      <c r="B33" s="15">
        <v>1</v>
      </c>
      <c r="C33" s="21">
        <v>2363</v>
      </c>
      <c r="D33" s="22">
        <f>B33*C33</f>
        <v>2363</v>
      </c>
      <c r="E33" s="22">
        <f>D33*12</f>
        <v>28356</v>
      </c>
      <c r="F33" s="23" t="s">
        <v>86</v>
      </c>
    </row>
    <row r="34" spans="1:6" x14ac:dyDescent="0.25">
      <c r="A34" s="24" t="s">
        <v>90</v>
      </c>
      <c r="B34" s="25">
        <f>SUM(B30:B33)</f>
        <v>20</v>
      </c>
      <c r="C34" s="26">
        <f>IFERROR(D34/B34,"")</f>
        <v>1665.75</v>
      </c>
      <c r="D34" s="26">
        <f>SUM(D30:D33)</f>
        <v>33315</v>
      </c>
      <c r="E34" s="26">
        <f>SUM(E30:E33)</f>
        <v>399780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7"/>
      <c r="B37" s="27" t="s">
        <v>92</v>
      </c>
      <c r="C37" s="27" t="s">
        <v>93</v>
      </c>
      <c r="D37" s="27"/>
      <c r="E37" s="27"/>
      <c r="F37" s="27" t="s">
        <v>94</v>
      </c>
    </row>
    <row r="38" spans="1:6" x14ac:dyDescent="0.25">
      <c r="A38" t="s">
        <v>95</v>
      </c>
      <c r="B38" s="22">
        <v>399722</v>
      </c>
      <c r="C38" s="8">
        <f>E34</f>
        <v>399780</v>
      </c>
      <c r="F38" s="2" t="s">
        <v>96</v>
      </c>
    </row>
    <row r="39" spans="1:6" x14ac:dyDescent="0.25">
      <c r="A39" t="s">
        <v>97</v>
      </c>
      <c r="B39" s="8">
        <v>3000</v>
      </c>
      <c r="C39" s="4">
        <v>3000</v>
      </c>
    </row>
    <row r="40" spans="1:6" x14ac:dyDescent="0.25">
      <c r="A40" s="24" t="s">
        <v>98</v>
      </c>
      <c r="B40" s="8">
        <f>B38+B39</f>
        <v>402722</v>
      </c>
      <c r="C40" s="8">
        <f>C38+C39</f>
        <v>402780</v>
      </c>
    </row>
    <row r="41" spans="1:6" x14ac:dyDescent="0.25">
      <c r="A41" t="s">
        <v>99</v>
      </c>
      <c r="B41" s="8">
        <f>-B38*0.02</f>
        <v>-7994.4400000000005</v>
      </c>
      <c r="C41" s="8">
        <f>-C38*Assumptions!$B$3</f>
        <v>-11993.4</v>
      </c>
      <c r="F41" s="2" t="s">
        <v>100</v>
      </c>
    </row>
    <row r="42" spans="1:6" x14ac:dyDescent="0.25">
      <c r="A42" s="24" t="s">
        <v>101</v>
      </c>
      <c r="B42" s="26">
        <f>B40+B41</f>
        <v>394727.56</v>
      </c>
      <c r="C42" s="26">
        <f>C40+C41</f>
        <v>390786.6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7" t="s">
        <v>103</v>
      </c>
      <c r="B45" s="27" t="s">
        <v>92</v>
      </c>
      <c r="C45" s="27" t="s">
        <v>104</v>
      </c>
      <c r="D45" s="27" t="s">
        <v>93</v>
      </c>
      <c r="E45" s="27" t="s">
        <v>105</v>
      </c>
      <c r="F45" s="27" t="s">
        <v>94</v>
      </c>
    </row>
    <row r="46" spans="1:6" x14ac:dyDescent="0.25">
      <c r="A46" t="s">
        <v>106</v>
      </c>
      <c r="B46" s="22">
        <v>48769</v>
      </c>
      <c r="C46" s="8">
        <f>B22*Assumptions!$B$18</f>
        <v>49800</v>
      </c>
      <c r="D46" s="28">
        <f>C46</f>
        <v>49800</v>
      </c>
      <c r="E46" s="8">
        <f t="shared" ref="E46:E54" si="0">IF(ISNUMBER(B46),D46-B46,"")</f>
        <v>1031</v>
      </c>
      <c r="F46" s="2" t="s">
        <v>107</v>
      </c>
    </row>
    <row r="47" spans="1:6" x14ac:dyDescent="0.25">
      <c r="A47" t="s">
        <v>108</v>
      </c>
      <c r="B47" s="22">
        <v>29521</v>
      </c>
      <c r="C47" s="8">
        <f>B7*Assumptions!$B$5+B8*Assumptions!$B$6</f>
        <v>18556</v>
      </c>
      <c r="D47" s="28">
        <f t="shared" ref="D47:D53" si="1">IF(ISNUMBER(B47),MAX(B47,C47),C47)</f>
        <v>29521</v>
      </c>
      <c r="E47" s="8">
        <f t="shared" si="0"/>
        <v>0</v>
      </c>
      <c r="F47" s="2" t="s">
        <v>109</v>
      </c>
    </row>
    <row r="48" spans="1:6" x14ac:dyDescent="0.25">
      <c r="A48" t="s">
        <v>110</v>
      </c>
      <c r="B48" s="22">
        <v>15989</v>
      </c>
      <c r="C48" s="8">
        <f>C42*Assumptions!$B$4</f>
        <v>19539.329999999998</v>
      </c>
      <c r="D48" s="28">
        <f t="shared" si="1"/>
        <v>19539.329999999998</v>
      </c>
      <c r="E48" s="8">
        <f t="shared" si="0"/>
        <v>3550.3299999999981</v>
      </c>
      <c r="F48" s="2" t="s">
        <v>111</v>
      </c>
    </row>
    <row r="49" spans="1:6" x14ac:dyDescent="0.25">
      <c r="A49" t="s">
        <v>112</v>
      </c>
      <c r="B49" s="22">
        <v>20000</v>
      </c>
      <c r="C49" s="8">
        <f>B7*Assumptions!$B$7</f>
        <v>24000</v>
      </c>
      <c r="D49" s="28">
        <f t="shared" si="1"/>
        <v>24000</v>
      </c>
      <c r="E49" s="8">
        <f t="shared" si="0"/>
        <v>4000</v>
      </c>
      <c r="F49" s="2" t="s">
        <v>113</v>
      </c>
    </row>
    <row r="50" spans="1:6" x14ac:dyDescent="0.25">
      <c r="A50" t="s">
        <v>114</v>
      </c>
      <c r="B50" s="22">
        <v>32789</v>
      </c>
      <c r="C50" s="8">
        <f>B7*Assumptions!$B$11</f>
        <v>32000</v>
      </c>
      <c r="D50" s="28">
        <f t="shared" si="1"/>
        <v>32789</v>
      </c>
      <c r="E50" s="8">
        <f t="shared" si="0"/>
        <v>0</v>
      </c>
      <c r="F50" s="2" t="s">
        <v>115</v>
      </c>
    </row>
    <row r="51" spans="1:6" x14ac:dyDescent="0.25">
      <c r="A51" t="s">
        <v>116</v>
      </c>
      <c r="B51" s="22">
        <v>6602</v>
      </c>
      <c r="C51" s="8">
        <f>B7*Assumptions!$B$12</f>
        <v>8000</v>
      </c>
      <c r="D51" s="28">
        <f t="shared" si="1"/>
        <v>8000</v>
      </c>
      <c r="E51" s="8">
        <f t="shared" si="0"/>
        <v>1398</v>
      </c>
      <c r="F51" s="2" t="s">
        <v>117</v>
      </c>
    </row>
    <row r="52" spans="1:6" x14ac:dyDescent="0.25">
      <c r="A52" t="s">
        <v>118</v>
      </c>
      <c r="B52" s="22">
        <v>20400</v>
      </c>
      <c r="C52" s="8">
        <f>B7*Assumptions!$B$13</f>
        <v>5000</v>
      </c>
      <c r="D52" s="28">
        <f t="shared" si="1"/>
        <v>20400</v>
      </c>
      <c r="E52" s="8">
        <f t="shared" si="0"/>
        <v>0</v>
      </c>
      <c r="F52" s="2" t="s">
        <v>119</v>
      </c>
    </row>
    <row r="53" spans="1:6" x14ac:dyDescent="0.25">
      <c r="A53" t="s">
        <v>120</v>
      </c>
      <c r="B53" s="22"/>
      <c r="C53" s="8">
        <f>B7*Assumptions!$B$14</f>
        <v>6000</v>
      </c>
      <c r="D53" s="28">
        <f t="shared" si="1"/>
        <v>6000</v>
      </c>
      <c r="E53" s="8" t="str">
        <f t="shared" si="0"/>
        <v/>
      </c>
      <c r="F53" s="2" t="s">
        <v>117</v>
      </c>
    </row>
    <row r="54" spans="1:6" x14ac:dyDescent="0.25">
      <c r="A54" s="24" t="s">
        <v>121</v>
      </c>
      <c r="B54" s="26">
        <f>SUM(B46:B53)</f>
        <v>174070</v>
      </c>
      <c r="C54" s="26">
        <f>SUM(C46:C53)</f>
        <v>162895.33000000002</v>
      </c>
      <c r="D54" s="26">
        <f>SUM(D46:D53)</f>
        <v>190049.33000000002</v>
      </c>
      <c r="E54" s="26">
        <f t="shared" si="0"/>
        <v>15979.330000000016</v>
      </c>
      <c r="F54" s="2" t="s">
        <v>122</v>
      </c>
    </row>
    <row r="55" spans="1:6" x14ac:dyDescent="0.25">
      <c r="A55" t="s">
        <v>123</v>
      </c>
      <c r="B55" s="8">
        <f>IFERROR(B54/B7,"")</f>
        <v>8703.5</v>
      </c>
      <c r="C55" s="8">
        <f>IFERROR(C54/B7,"")</f>
        <v>8144.7665000000006</v>
      </c>
      <c r="D55" s="8">
        <f>IFERROR(D54/B7,"")</f>
        <v>9502.4665000000005</v>
      </c>
    </row>
    <row r="56" spans="1:6" x14ac:dyDescent="0.25">
      <c r="A56" t="s">
        <v>124</v>
      </c>
      <c r="B56" s="18">
        <f>IFERROR(B54/B42,"")</f>
        <v>0.44098770301217377</v>
      </c>
      <c r="C56" s="18">
        <f>IFERROR(C54/C42,"")</f>
        <v>0.41683959992486957</v>
      </c>
      <c r="D56" s="18">
        <f>IF(C38&gt;0,IFERROR(D54/C42,""),"")</f>
        <v>0.48632509405389035</v>
      </c>
    </row>
    <row r="57" spans="1:6" x14ac:dyDescent="0.25">
      <c r="A57" s="24" t="s">
        <v>125</v>
      </c>
      <c r="B57" s="29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7"/>
      <c r="B60" s="27" t="s">
        <v>92</v>
      </c>
      <c r="C60" s="27" t="s">
        <v>93</v>
      </c>
      <c r="D60" s="27"/>
      <c r="E60" s="27"/>
      <c r="F60" s="27" t="s">
        <v>94</v>
      </c>
    </row>
    <row r="61" spans="1:6" x14ac:dyDescent="0.25">
      <c r="A61" s="24" t="s">
        <v>127</v>
      </c>
      <c r="B61" s="26">
        <f>B42-B54</f>
        <v>220657.56</v>
      </c>
      <c r="C61" s="26">
        <f>IF(C38&gt;0,C42-D54,"")</f>
        <v>200737.26999999996</v>
      </c>
      <c r="F61" t="s">
        <v>128</v>
      </c>
    </row>
    <row r="62" spans="1:6" x14ac:dyDescent="0.25">
      <c r="A62" s="24" t="s">
        <v>129</v>
      </c>
      <c r="B62" s="18">
        <f>IFERROR(B61/B22,"")</f>
        <v>5.3170496385542165E-2</v>
      </c>
      <c r="C62" s="18">
        <f>IF(C61="","",IFERROR(C61/B22,""))</f>
        <v>4.8370426506024085E-2</v>
      </c>
      <c r="F62" s="2" t="s">
        <v>130</v>
      </c>
    </row>
    <row r="63" spans="1:6" x14ac:dyDescent="0.25">
      <c r="A63" t="s">
        <v>131</v>
      </c>
      <c r="B63" s="19">
        <f>IFERROR(B22/B38,"")</f>
        <v>10.38221563986971</v>
      </c>
      <c r="C63" s="19">
        <f>IF(C38&gt;0,IFERROR(B22/C38,""),"")</f>
        <v>10.38070939016459</v>
      </c>
    </row>
    <row r="64" spans="1:6" x14ac:dyDescent="0.25">
      <c r="A64" t="s">
        <v>132</v>
      </c>
      <c r="B64" s="8">
        <f>IFERROR(B61/B7,"")</f>
        <v>11032.878000000001</v>
      </c>
      <c r="C64" s="8">
        <f>IF(C61="","",IFERROR(C61/B7,""))</f>
        <v>10036.863499999998</v>
      </c>
    </row>
    <row r="66" spans="1:6" x14ac:dyDescent="0.25">
      <c r="A66" s="13" t="s">
        <v>133</v>
      </c>
      <c r="B66" s="14"/>
      <c r="C66" s="14"/>
      <c r="D66" s="14"/>
      <c r="E66" s="14"/>
      <c r="F66" s="14"/>
    </row>
    <row r="67" spans="1:6" x14ac:dyDescent="0.25">
      <c r="A67" t="s">
        <v>134</v>
      </c>
      <c r="B67" s="8">
        <f>IFERROR(B22*Assumptions!$B$20,"")</f>
        <v>2490000</v>
      </c>
    </row>
    <row r="68" spans="1:6" x14ac:dyDescent="0.25">
      <c r="A68" t="s">
        <v>135</v>
      </c>
      <c r="B68" s="8">
        <f>IF(C61="","",IFERROR(PV(Assumptions!$B$22/12,Assumptions!$B$23*12,-C61/Assumptions!$B$21/12),""))</f>
        <v>2173479.1000477313</v>
      </c>
    </row>
    <row r="69" spans="1:6" x14ac:dyDescent="0.25">
      <c r="A69" s="24" t="s">
        <v>136</v>
      </c>
      <c r="B69" s="8">
        <f>IFERROR(MIN(B67,B68),"")</f>
        <v>2173479.1000477313</v>
      </c>
    </row>
    <row r="70" spans="1:6" x14ac:dyDescent="0.25">
      <c r="A70" t="s">
        <v>137</v>
      </c>
      <c r="B70" s="8">
        <f>IFERROR(B22-B69,"")</f>
        <v>1976520.8999522687</v>
      </c>
    </row>
    <row r="71" spans="1:6" x14ac:dyDescent="0.25">
      <c r="A71" t="s">
        <v>138</v>
      </c>
      <c r="B71" s="8">
        <f>IFERROR(-PMT(Assumptions!$B$22/12,Assumptions!$B$23*12,B69)*12,"")</f>
        <v>160589.81599999947</v>
      </c>
    </row>
    <row r="72" spans="1:6" x14ac:dyDescent="0.25">
      <c r="A72" t="s">
        <v>139</v>
      </c>
      <c r="B72" s="19">
        <f>IFERROR(C61/B71,"")</f>
        <v>1.250000000000004</v>
      </c>
    </row>
    <row r="73" spans="1:6" x14ac:dyDescent="0.25">
      <c r="A73" t="s">
        <v>140</v>
      </c>
      <c r="B73" s="8">
        <f>IFERROR(C61-B71,"")</f>
        <v>40147.454000000493</v>
      </c>
    </row>
    <row r="74" spans="1:6" x14ac:dyDescent="0.25">
      <c r="A74" t="s">
        <v>141</v>
      </c>
      <c r="B74" s="18">
        <f>IFERROR(B73/B70,"")</f>
        <v>2.0312182887097231E-2</v>
      </c>
    </row>
    <row r="76" spans="1:6" x14ac:dyDescent="0.25">
      <c r="A76" s="2" t="s">
        <v>142</v>
      </c>
    </row>
  </sheetData>
  <hyperlinks>
    <hyperlink ref="A3" r:id="rId1" xr:uid="{580E42C4-99C5-4FED-9547-D82BF8E3EBF9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17 900 N Orange Grove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2026-09-17T20:31:34Z</dcterms:created>
  <dcterms:modified xsi:type="dcterms:W3CDTF">2026-09-17T20:31:35Z</dcterms:modified>
</cp:coreProperties>
</file>