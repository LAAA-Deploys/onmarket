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F33DC380-889E-4FB1-8EEE-20376FBEB275}" xr6:coauthVersionLast="47" xr6:coauthVersionMax="47" xr10:uidLastSave="{00000000-0000-0000-0000-000000000000}"/>
  <bookViews>
    <workbookView xWindow="-120" yWindow="-120" windowWidth="29040" windowHeight="15720" activeTab="1" xr2:uid="{4412A124-C8CC-4CAA-9747-CC17A454E75F}"/>
  </bookViews>
  <sheets>
    <sheet name="Assumptions" sheetId="1" r:id="rId1"/>
    <sheet name="10 2626 Cloverfield Blv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5" i="2" l="1"/>
  <c r="B61" i="2"/>
  <c r="B53" i="2"/>
  <c r="B52" i="2"/>
  <c r="E51" i="2"/>
  <c r="C51" i="2"/>
  <c r="D51" i="2" s="1"/>
  <c r="C50" i="2"/>
  <c r="D50" i="2" s="1"/>
  <c r="E50" i="2" s="1"/>
  <c r="E49" i="2"/>
  <c r="C49" i="2"/>
  <c r="D49" i="2" s="1"/>
  <c r="C48" i="2"/>
  <c r="D48" i="2" s="1"/>
  <c r="E48" i="2" s="1"/>
  <c r="D47" i="2"/>
  <c r="E47" i="2" s="1"/>
  <c r="C47" i="2"/>
  <c r="C45" i="2"/>
  <c r="D45" i="2" s="1"/>
  <c r="E45" i="2" s="1"/>
  <c r="C44" i="2"/>
  <c r="B39" i="2"/>
  <c r="B38" i="2"/>
  <c r="B40" i="2" s="1"/>
  <c r="E32" i="2"/>
  <c r="C36" i="2" s="1"/>
  <c r="D32" i="2"/>
  <c r="C32" i="2" s="1"/>
  <c r="B32" i="2"/>
  <c r="E31" i="2"/>
  <c r="D31" i="2"/>
  <c r="E30" i="2"/>
  <c r="D30" i="2"/>
  <c r="B24" i="2"/>
  <c r="B23" i="2"/>
  <c r="C39" i="2" l="1"/>
  <c r="C38" i="2"/>
  <c r="C40" i="2" s="1"/>
  <c r="C46" i="2" s="1"/>
  <c r="D46" i="2" s="1"/>
  <c r="E46" i="2" s="1"/>
  <c r="C61" i="2"/>
  <c r="B59" i="2"/>
  <c r="B54" i="2"/>
  <c r="C52" i="2"/>
  <c r="D44" i="2"/>
  <c r="C54" i="2" l="1"/>
  <c r="C53" i="2"/>
  <c r="D52" i="2"/>
  <c r="E44" i="2"/>
  <c r="B60" i="2"/>
  <c r="B62" i="2"/>
  <c r="C59" i="2"/>
  <c r="C60" i="2" l="1"/>
  <c r="B66" i="2"/>
  <c r="B67" i="2" s="1"/>
  <c r="C62" i="2"/>
  <c r="E52" i="2"/>
  <c r="D53" i="2"/>
  <c r="B55" i="2"/>
  <c r="D54" i="2"/>
  <c r="B69" i="2" l="1"/>
  <c r="B68" i="2"/>
  <c r="B71" i="2" l="1"/>
  <c r="B72" i="2" s="1"/>
  <c r="B70" i="2"/>
</calcChain>
</file>

<file path=xl/sharedStrings.xml><?xml version="1.0" encoding="utf-8"?>
<sst xmlns="http://schemas.openxmlformats.org/spreadsheetml/2006/main" count="149" uniqueCount="141">
  <si>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</si>
  <si>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</si>
  <si>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</si>
  <si>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</si>
  <si>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</si>
  <si>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</si>
  <si>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</si>
  <si>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</si>
  <si>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</si>
  <si>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</si>
  <si>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</si>
  <si>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</si>
  <si>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</si>
  <si>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</si>
  <si>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</si>
  <si>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</si>
  <si>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</si>
  <si>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</si>
  <si>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</si>
  <si>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</si>
  <si>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</si>
  <si>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</si>
  <si>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</si>
  <si>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</si>
  <si>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</si>
  <si>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</si>
  <si>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</si>
  <si>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</si>
  <si>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</si>
  <si>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</si>
  <si>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</si>
  <si>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</si>
  <si>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</si>
  <si>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</si>
  <si>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</si>
  <si>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</si>
  <si>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</si>
  <si>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</si>
  <si>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</si>
  <si>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</si>
  <si>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</si>
  <si>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</si>
  <si>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</si>
  <si>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</si>
  <si>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</si>
  <si>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</si>
  <si>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</si>
  <si>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2626 Cloverfield Blvd</t>
  </si>
  <si>
    <t>Santa Monica, CA 90405  |  Santa Monica</t>
  </si>
  <si>
    <t>LoopNet listing</t>
  </si>
  <si>
    <t>Data pulled 9/17/2026 from LoopNet public listing + rent roll and expenses read from the listing broker's OM (Marcus &amp; Millichap, Jul 2026)</t>
  </si>
  <si>
    <t>NOTE: | OM: Vacant units: rent roll marks 4 units vacant (2, 3, 10, 12) but the Investment Description and Highlights say 'five vacant units'. Four vacant units are carried at asking rent inside current GSR ($2,800 x3 + $2,295 studio = $10,695/mo, 34% of current GSR).; Cross-check passed: unit-by-unit rents sum</t>
  </si>
  <si>
    <t>PROPERTY</t>
  </si>
  <si>
    <t>Units</t>
  </si>
  <si>
    <t>Gross building SF</t>
  </si>
  <si>
    <t>Lot SF</t>
  </si>
  <si>
    <t>Lot acres</t>
  </si>
  <si>
    <t>Year built</t>
  </si>
  <si>
    <t>Stories</t>
  </si>
  <si>
    <t>2</t>
  </si>
  <si>
    <t>Zoning</t>
  </si>
  <si>
    <t>SMR3* - residential</t>
  </si>
  <si>
    <t>Occupancy per listing</t>
  </si>
  <si>
    <t>APN</t>
  </si>
  <si>
    <t>4273-012-016</t>
  </si>
  <si>
    <t>Assessed value (current)</t>
  </si>
  <si>
    <t>Listing broker(s)</t>
  </si>
  <si>
    <t>Steve Bogoyevac, David O'Keefe</t>
  </si>
  <si>
    <t>Date on market</t>
  </si>
  <si>
    <t>4/8/2026</t>
  </si>
  <si>
    <t>Listing last updated</t>
  </si>
  <si>
    <t>9/8/2026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</si>
  <si>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</si>
  <si>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</si>
  <si>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</si>
  <si>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</si>
  <si>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</si>
  <si>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</si>
  <si>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</si>
  <si>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</si>
  <si>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</si>
  <si>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</si>
  <si>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</si>
  <si>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</si>
  <si>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</si>
  <si>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1 Bd / 1 Ba  [Units 1-9, 11, 12. Units 2, 3 and 12 vacant at $2,800 asking]</t>
  </si>
  <si>
    <t>OM rent roll, current in-place rents (OM Jul 2026)</t>
  </si>
  <si>
    <t>Studio  [Unit 10, vacant at $2,295 asking (same as pro forma).]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</si>
  <si>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</si>
  <si>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</si>
  <si>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</si>
  <si>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</si>
  <si>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</si>
  <si>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</si>
  <si>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OM stated current scheduled rent (OM Jul 2026); LAAA column: OM rent roll by unit type</t>
  </si>
  <si>
    <t>Other income (laundry, parking, RUBS)</t>
  </si>
  <si>
    <t>Gross scheduled income</t>
  </si>
  <si>
    <t>Vacancy &amp; credit loss</t>
  </si>
  <si>
    <t>OM 3.0%;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</si>
  <si>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</si>
  <si>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</si>
  <si>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</si>
  <si>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</si>
  <si>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</si>
  <si>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</si>
  <si>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Santa Monica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</si>
  <si>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</si>
  <si>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</si>
  <si>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</si>
  <si>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</si>
  <si>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</si>
  <si>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</si>
  <si>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</si>
  <si>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city; OM utilities + water/sewer + gas/electric + trash combined</t>
  </si>
  <si>
    <t>Contract services (landscape, pest, cleaning)</t>
  </si>
  <si>
    <t>per unit</t>
  </si>
  <si>
    <t>Admin / legal / licenses / rent registration / other OM items</t>
  </si>
  <si>
    <t>OM other items: General &amp; Admin 1,200; Contract Services (pest control $100/unit; landscaping $0) 1,200; Turnover Costs 3,000</t>
  </si>
  <si>
    <t>Replacement reserves</t>
  </si>
  <si>
    <t>Total operating expenses</t>
  </si>
  <si>
    <t>OM line items from OM (OM Jul 2026); basis: OM 'Annualized Expenses' CURRENT column (Income &amp; Expenses page 9). Broker estimates: taxes reset on list price (1.203757% x $4,750,000 + $1,877.10 special assessments); insurance and utilities 'as provided from historical operations'; R&amp;M $500/unit, turnover $300/unit, contract services $100/unit are broker standards. 'Utilities' is a single $4,400 line (water master-metered; gas and electric separately metered), not split. No reserves line in the table although the notes say $250/unit is underwritten. Pro forma column total is $96,465.; OM total 95,494</t>
  </si>
  <si>
    <t>Expenses per unit</t>
  </si>
  <si>
    <t>Expenses as % of EGI</t>
  </si>
  <si>
    <t>OM expense test</t>
  </si>
  <si>
    <t>NOI &amp; RETURNS</t>
  </si>
  <si>
    <t>Net operating income</t>
  </si>
  <si>
    <t>OM states NOI 265,463 / cap 5.59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</si>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</sst>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&quot;-&quot;"/>
    <numFmt numFmtId="165" formatCode="\$#,##0.00"/>
    <numFmt numFmtId="166" formatCode="0.00&quot;x&quot;"/>
    <numFmt numFmtId="167" formatCode="&quot;$&quot;#,##0;\(&quot;$&quot;#,##0\);&quot;-&quot;"/>
  </numFmts>
  <fonts count="12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  <family val="2"/>
      <scheme val="minor"/>
    </font>
    <font>
      <b/>
      <sz val="10"/>
      <color rgb="FFFFFFFF"/>
      <name val="Calibri"/>
    </font>
    <font>
      <i/>
      <sz val="9"/>
      <color rgb="FF595959"/>
      <name val="Calibri"/>
      <family val="2"/>
    </font>
    <font>
      <b/>
      <sz val="11"/>
      <name val="Calibri"/>
    </font>
    <font>
      <b/>
      <sz val="11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2CC"/>
        <bgColor indexed="6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7" fontId="0" fillId="5" borderId="1" xfId="0" applyNumberFormat="1" applyFill="1" applyBorder="1"/>
    <xf numFmtId="167" fontId="0" fillId="0" borderId="0" xfId="0" applyNumberFormat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164" fontId="10" fillId="0" borderId="0" xfId="0" applyNumberFormat="1" applyFont="1"/>
    <xf numFmtId="0" fontId="8" fillId="4" borderId="0" xfId="0" applyFont="1" applyFill="1"/>
    <xf numFmtId="164" fontId="0" fillId="6" borderId="0" xfId="0" applyNumberFormat="1" applyFill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667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B2E3EF76-4479-485B-9F2A-E39BCABFC6F5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667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2626-Cloverfield-Blvd-Santa-Monica-CA/40077828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7E3C9-8024-4B95-A8C8-64878A94F69F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D6562-971E-44C9-A3A5-E5F40D4EAC22}">
  <sheetPr>
    <pageSetUpPr fitToPage="1"/>
  </sheetPr>
  <dimension ref="A1:F74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12</v>
      </c>
    </row>
    <row r="8" spans="1:3" x14ac:dyDescent="0.25">
      <c r="A8" t="s">
        <v>54</v>
      </c>
      <c r="B8" s="15">
        <v>7280</v>
      </c>
    </row>
    <row r="9" spans="1:3" x14ac:dyDescent="0.25">
      <c r="A9" t="s">
        <v>55</v>
      </c>
      <c r="B9" s="15">
        <v>6098</v>
      </c>
    </row>
    <row r="10" spans="1:3" x14ac:dyDescent="0.25">
      <c r="A10" t="s">
        <v>56</v>
      </c>
      <c r="B10" s="16">
        <v>0.14000000000000001</v>
      </c>
    </row>
    <row r="11" spans="1:3" x14ac:dyDescent="0.25">
      <c r="A11" t="s">
        <v>57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</row>
    <row r="15" spans="1:3" x14ac:dyDescent="0.25">
      <c r="A15" t="s">
        <v>63</v>
      </c>
      <c r="B15" t="s">
        <v>64</v>
      </c>
    </row>
    <row r="16" spans="1:3" x14ac:dyDescent="0.25">
      <c r="A16" t="s">
        <v>65</v>
      </c>
      <c r="B16" s="8">
        <v>4590000</v>
      </c>
    </row>
    <row r="17" spans="1:6" x14ac:dyDescent="0.25">
      <c r="A17" t="s">
        <v>66</v>
      </c>
      <c r="B17" t="s">
        <v>67</v>
      </c>
    </row>
    <row r="18" spans="1:6" x14ac:dyDescent="0.25">
      <c r="A18" t="s">
        <v>68</v>
      </c>
      <c r="B18" t="s">
        <v>69</v>
      </c>
    </row>
    <row r="19" spans="1:6" x14ac:dyDescent="0.25">
      <c r="A19" t="s">
        <v>70</v>
      </c>
      <c r="B19" t="s">
        <v>71</v>
      </c>
    </row>
    <row r="21" spans="1:6" x14ac:dyDescent="0.25">
      <c r="A21" s="13" t="s">
        <v>72</v>
      </c>
      <c r="B21" s="14"/>
      <c r="C21" s="14"/>
    </row>
    <row r="22" spans="1:6" x14ac:dyDescent="0.25">
      <c r="A22" t="s">
        <v>73</v>
      </c>
      <c r="B22" s="4">
        <v>4750000</v>
      </c>
    </row>
    <row r="23" spans="1:6" x14ac:dyDescent="0.25">
      <c r="A23" t="s">
        <v>74</v>
      </c>
      <c r="B23" s="8">
        <f>IFERROR(B22/B7,"")</f>
        <v>395833.33333333331</v>
      </c>
    </row>
    <row r="24" spans="1:6" x14ac:dyDescent="0.25">
      <c r="A24" t="s">
        <v>75</v>
      </c>
      <c r="B24" s="17">
        <f>IFERROR(B22/B8,"")</f>
        <v>652.47252747252742</v>
      </c>
    </row>
    <row r="25" spans="1:6" x14ac:dyDescent="0.25">
      <c r="A25" t="s">
        <v>76</v>
      </c>
      <c r="B25" s="18">
        <v>5.5899999999999998E-2</v>
      </c>
    </row>
    <row r="26" spans="1:6" x14ac:dyDescent="0.25">
      <c r="A26" t="s">
        <v>77</v>
      </c>
      <c r="B26" s="19">
        <v>12.76</v>
      </c>
    </row>
    <row r="28" spans="1:6" x14ac:dyDescent="0.25">
      <c r="A28" s="13" t="s">
        <v>78</v>
      </c>
      <c r="B28" s="14"/>
      <c r="C28" s="14"/>
      <c r="D28" s="14"/>
      <c r="E28" s="14"/>
      <c r="F28" s="14"/>
    </row>
    <row r="29" spans="1:6" x14ac:dyDescent="0.25">
      <c r="A29" s="20" t="s">
        <v>79</v>
      </c>
      <c r="B29" s="20" t="s">
        <v>80</v>
      </c>
      <c r="C29" s="20" t="s">
        <v>81</v>
      </c>
      <c r="D29" s="20" t="s">
        <v>82</v>
      </c>
      <c r="E29" s="20" t="s">
        <v>83</v>
      </c>
      <c r="F29" s="20" t="s">
        <v>84</v>
      </c>
    </row>
    <row r="30" spans="1:6" x14ac:dyDescent="0.25">
      <c r="A30" t="s">
        <v>85</v>
      </c>
      <c r="B30" s="15">
        <v>11</v>
      </c>
      <c r="C30" s="21">
        <v>2610</v>
      </c>
      <c r="D30" s="22">
        <f>B30*C30</f>
        <v>28710</v>
      </c>
      <c r="E30" s="22">
        <f>D30*12</f>
        <v>344520</v>
      </c>
      <c r="F30" s="23" t="s">
        <v>86</v>
      </c>
    </row>
    <row r="31" spans="1:6" x14ac:dyDescent="0.25">
      <c r="A31" t="s">
        <v>87</v>
      </c>
      <c r="B31" s="15">
        <v>1</v>
      </c>
      <c r="C31" s="21">
        <v>2295</v>
      </c>
      <c r="D31" s="22">
        <f>B31*C31</f>
        <v>2295</v>
      </c>
      <c r="E31" s="22">
        <f>D31*12</f>
        <v>27540</v>
      </c>
      <c r="F31" s="23" t="s">
        <v>86</v>
      </c>
    </row>
    <row r="32" spans="1:6" x14ac:dyDescent="0.25">
      <c r="A32" s="24" t="s">
        <v>88</v>
      </c>
      <c r="B32" s="25">
        <f>SUM(B30:B31)</f>
        <v>12</v>
      </c>
      <c r="C32" s="26">
        <f>IFERROR(D32/B32,"")</f>
        <v>2583.75</v>
      </c>
      <c r="D32" s="26">
        <f>SUM(D30:D31)</f>
        <v>31005</v>
      </c>
      <c r="E32" s="26">
        <f>SUM(E30:E31)</f>
        <v>372060</v>
      </c>
    </row>
    <row r="34" spans="1:6" x14ac:dyDescent="0.25">
      <c r="A34" s="13" t="s">
        <v>89</v>
      </c>
      <c r="B34" s="14"/>
      <c r="C34" s="14"/>
      <c r="D34" s="14"/>
      <c r="E34" s="14"/>
      <c r="F34" s="14"/>
    </row>
    <row r="35" spans="1:6" x14ac:dyDescent="0.25">
      <c r="A35" s="27"/>
      <c r="B35" s="27" t="s">
        <v>90</v>
      </c>
      <c r="C35" s="27" t="s">
        <v>91</v>
      </c>
      <c r="D35" s="27"/>
      <c r="E35" s="27"/>
      <c r="F35" s="27" t="s">
        <v>92</v>
      </c>
    </row>
    <row r="36" spans="1:6" x14ac:dyDescent="0.25">
      <c r="A36" t="s">
        <v>93</v>
      </c>
      <c r="B36" s="22">
        <v>372120</v>
      </c>
      <c r="C36" s="8">
        <f>E32</f>
        <v>372060</v>
      </c>
      <c r="F36" s="2" t="s">
        <v>94</v>
      </c>
    </row>
    <row r="37" spans="1:6" x14ac:dyDescent="0.25">
      <c r="A37" t="s">
        <v>95</v>
      </c>
      <c r="B37" s="8">
        <v>0</v>
      </c>
      <c r="C37" s="4">
        <v>0</v>
      </c>
    </row>
    <row r="38" spans="1:6" x14ac:dyDescent="0.25">
      <c r="A38" s="24" t="s">
        <v>96</v>
      </c>
      <c r="B38" s="8">
        <f>B36+B37</f>
        <v>372120</v>
      </c>
      <c r="C38" s="8">
        <f>C36+C37</f>
        <v>372060</v>
      </c>
    </row>
    <row r="39" spans="1:6" x14ac:dyDescent="0.25">
      <c r="A39" t="s">
        <v>97</v>
      </c>
      <c r="B39" s="8">
        <f>-B36*0.03</f>
        <v>-11163.6</v>
      </c>
      <c r="C39" s="8">
        <f>-C36*Assumptions!$B$3</f>
        <v>-11161.8</v>
      </c>
      <c r="F39" s="2" t="s">
        <v>98</v>
      </c>
    </row>
    <row r="40" spans="1:6" x14ac:dyDescent="0.25">
      <c r="A40" s="24" t="s">
        <v>99</v>
      </c>
      <c r="B40" s="26">
        <f>B38+B39</f>
        <v>360956.4</v>
      </c>
      <c r="C40" s="26">
        <f>C38+C39</f>
        <v>360898.2</v>
      </c>
    </row>
    <row r="42" spans="1:6" x14ac:dyDescent="0.25">
      <c r="A42" s="13" t="s">
        <v>100</v>
      </c>
      <c r="B42" s="14"/>
      <c r="C42" s="14"/>
      <c r="D42" s="14"/>
      <c r="E42" s="14"/>
      <c r="F42" s="14"/>
    </row>
    <row r="43" spans="1:6" x14ac:dyDescent="0.25">
      <c r="A43" s="27" t="s">
        <v>101</v>
      </c>
      <c r="B43" s="27" t="s">
        <v>90</v>
      </c>
      <c r="C43" s="27" t="s">
        <v>102</v>
      </c>
      <c r="D43" s="27" t="s">
        <v>91</v>
      </c>
      <c r="E43" s="27" t="s">
        <v>103</v>
      </c>
      <c r="F43" s="27" t="s">
        <v>92</v>
      </c>
    </row>
    <row r="44" spans="1:6" x14ac:dyDescent="0.25">
      <c r="A44" t="s">
        <v>104</v>
      </c>
      <c r="B44" s="22">
        <v>59056</v>
      </c>
      <c r="C44" s="8">
        <f>B22*Assumptions!$B$16</f>
        <v>54625</v>
      </c>
      <c r="D44" s="28">
        <f>C44</f>
        <v>54625</v>
      </c>
      <c r="E44" s="8">
        <f t="shared" ref="E44:E52" si="0">IF(ISNUMBER(B44),D44-B44,"")</f>
        <v>-4431</v>
      </c>
      <c r="F44" s="2" t="s">
        <v>105</v>
      </c>
    </row>
    <row r="45" spans="1:6" x14ac:dyDescent="0.25">
      <c r="A45" t="s">
        <v>106</v>
      </c>
      <c r="B45" s="22">
        <v>6200</v>
      </c>
      <c r="C45" s="8">
        <f>B7*Assumptions!$B$5+B8*Assumptions!$B$6</f>
        <v>9680</v>
      </c>
      <c r="D45" s="28">
        <f t="shared" ref="D45:D51" si="1">IF(ISNUMBER(B45),MAX(B45,C45),C45)</f>
        <v>9680</v>
      </c>
      <c r="E45" s="8">
        <f t="shared" si="0"/>
        <v>3480</v>
      </c>
      <c r="F45" s="2" t="s">
        <v>107</v>
      </c>
    </row>
    <row r="46" spans="1:6" x14ac:dyDescent="0.25">
      <c r="A46" t="s">
        <v>108</v>
      </c>
      <c r="B46" s="22">
        <v>14438</v>
      </c>
      <c r="C46" s="8">
        <f>C40*Assumptions!$B$4</f>
        <v>18044.91</v>
      </c>
      <c r="D46" s="28">
        <f t="shared" si="1"/>
        <v>18044.91</v>
      </c>
      <c r="E46" s="8">
        <f t="shared" si="0"/>
        <v>3606.91</v>
      </c>
      <c r="F46" s="2" t="s">
        <v>109</v>
      </c>
    </row>
    <row r="47" spans="1:6" x14ac:dyDescent="0.25">
      <c r="A47" t="s">
        <v>110</v>
      </c>
      <c r="B47" s="22">
        <v>6000</v>
      </c>
      <c r="C47" s="8">
        <f>B7*Assumptions!$B$7</f>
        <v>14400</v>
      </c>
      <c r="D47" s="28">
        <f t="shared" si="1"/>
        <v>14400</v>
      </c>
      <c r="E47" s="8">
        <f t="shared" si="0"/>
        <v>8400</v>
      </c>
      <c r="F47" s="2" t="s">
        <v>111</v>
      </c>
    </row>
    <row r="48" spans="1:6" x14ac:dyDescent="0.25">
      <c r="A48" t="s">
        <v>112</v>
      </c>
      <c r="B48" s="22">
        <v>4400</v>
      </c>
      <c r="C48" s="8">
        <f>B7*Assumptions!$B$10</f>
        <v>21600</v>
      </c>
      <c r="D48" s="28">
        <f t="shared" si="1"/>
        <v>21600</v>
      </c>
      <c r="E48" s="8">
        <f t="shared" si="0"/>
        <v>17200</v>
      </c>
      <c r="F48" s="2" t="s">
        <v>113</v>
      </c>
    </row>
    <row r="49" spans="1:6" x14ac:dyDescent="0.25">
      <c r="A49" t="s">
        <v>114</v>
      </c>
      <c r="B49" s="22"/>
      <c r="C49" s="8">
        <f>B7*Assumptions!$B$12</f>
        <v>4800</v>
      </c>
      <c r="D49" s="28">
        <f t="shared" si="1"/>
        <v>4800</v>
      </c>
      <c r="E49" s="8" t="str">
        <f t="shared" si="0"/>
        <v/>
      </c>
      <c r="F49" s="2" t="s">
        <v>115</v>
      </c>
    </row>
    <row r="50" spans="1:6" x14ac:dyDescent="0.25">
      <c r="A50" t="s">
        <v>116</v>
      </c>
      <c r="B50" s="22">
        <v>5400</v>
      </c>
      <c r="C50" s="8">
        <f>B7*Assumptions!$B$13</f>
        <v>3000</v>
      </c>
      <c r="D50" s="28">
        <f t="shared" si="1"/>
        <v>5400</v>
      </c>
      <c r="E50" s="8">
        <f t="shared" si="0"/>
        <v>0</v>
      </c>
      <c r="F50" s="2" t="s">
        <v>117</v>
      </c>
    </row>
    <row r="51" spans="1:6" x14ac:dyDescent="0.25">
      <c r="A51" t="s">
        <v>118</v>
      </c>
      <c r="B51" s="22"/>
      <c r="C51" s="8">
        <f>B7*Assumptions!$B$14</f>
        <v>3600</v>
      </c>
      <c r="D51" s="28">
        <f t="shared" si="1"/>
        <v>3600</v>
      </c>
      <c r="E51" s="8" t="str">
        <f t="shared" si="0"/>
        <v/>
      </c>
      <c r="F51" s="2" t="s">
        <v>115</v>
      </c>
    </row>
    <row r="52" spans="1:6" x14ac:dyDescent="0.25">
      <c r="A52" s="24" t="s">
        <v>119</v>
      </c>
      <c r="B52" s="26">
        <f>SUM(B44:B51)</f>
        <v>95494</v>
      </c>
      <c r="C52" s="26">
        <f>SUM(C44:C51)</f>
        <v>129749.91</v>
      </c>
      <c r="D52" s="26">
        <f>SUM(D44:D51)</f>
        <v>132149.91</v>
      </c>
      <c r="E52" s="26">
        <f t="shared" si="0"/>
        <v>36655.910000000003</v>
      </c>
      <c r="F52" s="2" t="s">
        <v>120</v>
      </c>
    </row>
    <row r="53" spans="1:6" x14ac:dyDescent="0.25">
      <c r="A53" t="s">
        <v>121</v>
      </c>
      <c r="B53" s="8">
        <f>IFERROR(B52/B7,"")</f>
        <v>7957.833333333333</v>
      </c>
      <c r="C53" s="8">
        <f>IFERROR(C52/B7,"")</f>
        <v>10812.4925</v>
      </c>
      <c r="D53" s="8">
        <f>IFERROR(D52/B7,"")</f>
        <v>11012.4925</v>
      </c>
    </row>
    <row r="54" spans="1:6" x14ac:dyDescent="0.25">
      <c r="A54" t="s">
        <v>122</v>
      </c>
      <c r="B54" s="18">
        <f>IFERROR(B52/B40,"")</f>
        <v>0.26455826797917975</v>
      </c>
      <c r="C54" s="18">
        <f>IFERROR(C52/C40,"")</f>
        <v>0.35951941572443419</v>
      </c>
      <c r="D54" s="18">
        <f>IF(C36&gt;0,IFERROR(D52/C40,""),"")</f>
        <v>0.36616949045464897</v>
      </c>
    </row>
    <row r="55" spans="1:6" x14ac:dyDescent="0.25">
      <c r="A55" s="24" t="s">
        <v>123</v>
      </c>
      <c r="B55" s="29" t="str">
        <f>IF(ISNUMBER(B52),IF(D52&gt;B52*(1+Assumptions!$B$24),"OM EXPENSES LIGHT","OM expenses reasonable"),"OM expenses not published")</f>
        <v>OM EXPENSES LIGHT</v>
      </c>
    </row>
    <row r="57" spans="1:6" x14ac:dyDescent="0.25">
      <c r="A57" s="13" t="s">
        <v>124</v>
      </c>
      <c r="B57" s="14"/>
      <c r="C57" s="14"/>
      <c r="D57" s="14"/>
      <c r="E57" s="14"/>
      <c r="F57" s="14"/>
    </row>
    <row r="58" spans="1:6" x14ac:dyDescent="0.25">
      <c r="A58" s="27"/>
      <c r="B58" s="27" t="s">
        <v>90</v>
      </c>
      <c r="C58" s="27" t="s">
        <v>91</v>
      </c>
      <c r="D58" s="27"/>
      <c r="E58" s="27"/>
      <c r="F58" s="27" t="s">
        <v>92</v>
      </c>
    </row>
    <row r="59" spans="1:6" x14ac:dyDescent="0.25">
      <c r="A59" s="24" t="s">
        <v>125</v>
      </c>
      <c r="B59" s="26">
        <f>B40-B52</f>
        <v>265462.40000000002</v>
      </c>
      <c r="C59" s="26">
        <f>IF(C36&gt;0,C40-D52,"")</f>
        <v>228748.29</v>
      </c>
      <c r="F59" t="s">
        <v>126</v>
      </c>
    </row>
    <row r="60" spans="1:6" x14ac:dyDescent="0.25">
      <c r="A60" s="24" t="s">
        <v>127</v>
      </c>
      <c r="B60" s="18">
        <f>IFERROR(B59/B22,"")</f>
        <v>5.5886821052631583E-2</v>
      </c>
      <c r="C60" s="18">
        <f>IF(C59="","",IFERROR(C59/B22,""))</f>
        <v>4.815753473684211E-2</v>
      </c>
      <c r="F60" s="2" t="s">
        <v>128</v>
      </c>
    </row>
    <row r="61" spans="1:6" x14ac:dyDescent="0.25">
      <c r="A61" t="s">
        <v>129</v>
      </c>
      <c r="B61" s="19">
        <f>IFERROR(B22/B36,"")</f>
        <v>12.764699559281953</v>
      </c>
      <c r="C61" s="19">
        <f>IF(C36&gt;0,IFERROR(B22/C36,""),"")</f>
        <v>12.766758049776918</v>
      </c>
    </row>
    <row r="62" spans="1:6" x14ac:dyDescent="0.25">
      <c r="A62" t="s">
        <v>130</v>
      </c>
      <c r="B62" s="8">
        <f>IFERROR(B59/B7,"")</f>
        <v>22121.866666666669</v>
      </c>
      <c r="C62" s="8">
        <f>IF(C59="","",IFERROR(C59/B7,""))</f>
        <v>19062.357500000002</v>
      </c>
    </row>
    <row r="64" spans="1:6" x14ac:dyDescent="0.25">
      <c r="A64" s="13" t="s">
        <v>131</v>
      </c>
      <c r="B64" s="14"/>
      <c r="C64" s="14"/>
      <c r="D64" s="14"/>
      <c r="E64" s="14"/>
      <c r="F64" s="14"/>
    </row>
    <row r="65" spans="1:2" x14ac:dyDescent="0.25">
      <c r="A65" t="s">
        <v>132</v>
      </c>
      <c r="B65" s="8">
        <f>IFERROR(B22*Assumptions!$B$20,"")</f>
        <v>2850000</v>
      </c>
    </row>
    <row r="66" spans="1:2" x14ac:dyDescent="0.25">
      <c r="A66" t="s">
        <v>133</v>
      </c>
      <c r="B66" s="8">
        <f>IF(C59="","",IFERROR(PV(Assumptions!$B$22/12,Assumptions!$B$23*12,-C59/Assumptions!$B$21/12),""))</f>
        <v>2476767.9040701189</v>
      </c>
    </row>
    <row r="67" spans="1:2" x14ac:dyDescent="0.25">
      <c r="A67" s="24" t="s">
        <v>134</v>
      </c>
      <c r="B67" s="8">
        <f>IFERROR(MIN(B65,B66),"")</f>
        <v>2476767.9040701189</v>
      </c>
    </row>
    <row r="68" spans="1:2" x14ac:dyDescent="0.25">
      <c r="A68" t="s">
        <v>135</v>
      </c>
      <c r="B68" s="8">
        <f>IFERROR(B22-B67,"")</f>
        <v>2273232.0959298811</v>
      </c>
    </row>
    <row r="69" spans="1:2" x14ac:dyDescent="0.25">
      <c r="A69" t="s">
        <v>136</v>
      </c>
      <c r="B69" s="8">
        <f>IFERROR(-PMT(Assumptions!$B$22/12,Assumptions!$B$23*12,B67)*12,"")</f>
        <v>182998.6319999994</v>
      </c>
    </row>
    <row r="70" spans="1:2" x14ac:dyDescent="0.25">
      <c r="A70" t="s">
        <v>137</v>
      </c>
      <c r="B70" s="19">
        <f>IFERROR(C59/B69,"")</f>
        <v>1.2500000000000042</v>
      </c>
    </row>
    <row r="71" spans="1:2" x14ac:dyDescent="0.25">
      <c r="A71" t="s">
        <v>138</v>
      </c>
      <c r="B71" s="8">
        <f>IFERROR(C59-B69,"")</f>
        <v>45749.658000000607</v>
      </c>
    </row>
    <row r="72" spans="1:2" x14ac:dyDescent="0.25">
      <c r="A72" t="s">
        <v>139</v>
      </c>
      <c r="B72" s="18">
        <f>IFERROR(B71/B68,"")</f>
        <v>2.0125379226306583E-2</v>
      </c>
    </row>
    <row r="74" spans="1:2" x14ac:dyDescent="0.25">
      <c r="A74" s="2" t="s">
        <v>140</v>
      </c>
    </row>
  </sheetData>
  <hyperlinks>
    <hyperlink ref="A3" r:id="rId1" xr:uid="{4F3D3745-69F1-4AFE-AE88-46D83A0A3A0A}"/>
  </hyperlinks>
  <pageMargins left="0.75" right="0.75" top="1" bottom="1" header="0.5" footer="0.5"/>
  <pageSetup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10 2626 Cloverfield Blvd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2026-09-17T20:38:39Z</dcterms:created>
  <dcterms:modified xsi:type="dcterms:W3CDTF">2026-09-17T20:38:40Z</dcterms:modified>
</cp:coreProperties>
</file>