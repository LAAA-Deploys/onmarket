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BC716B5B-2F22-4667-B6E3-31437A24D206}" xr6:coauthVersionLast="47" xr6:coauthVersionMax="47" xr10:uidLastSave="{00000000-0000-0000-0000-000000000000}"/>
  <bookViews>
    <workbookView xWindow="-120" yWindow="-120" windowWidth="29040" windowHeight="15720" activeTab="1" xr2:uid="{6C1D5F9E-5657-4E2C-979C-093D895ACCE0}"/>
  </bookViews>
  <sheets>
    <sheet name="Assumptions" sheetId="1" r:id="rId1"/>
    <sheet name="15 1041 S Corning St" sheetId="2" r:id="rId2"/>
  </sheets>
  <definedNames>
    <definedName name="_xlnm.Print_Area" localSheetId="1">'15 1041 S Corning St'!$A$1:$N$78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D51" i="2"/>
  <c r="C51" i="2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E33" i="2" s="1"/>
  <c r="C37" i="2" s="1"/>
  <c r="B24" i="2"/>
  <c r="B23" i="2"/>
  <c r="B53" i="2" l="1"/>
  <c r="B60" i="2"/>
  <c r="C40" i="2"/>
  <c r="C62" i="2"/>
  <c r="C39" i="2"/>
  <c r="C41" i="2" s="1"/>
  <c r="C47" i="2" s="1"/>
  <c r="D47" i="2" s="1"/>
  <c r="D53" i="2" s="1"/>
  <c r="D54" i="2" l="1"/>
  <c r="D55" i="2"/>
  <c r="C60" i="2"/>
  <c r="C53" i="2"/>
  <c r="B61" i="2"/>
  <c r="B63" i="2"/>
  <c r="B54" i="2"/>
  <c r="B56" i="2"/>
  <c r="E53" i="2"/>
  <c r="B55" i="2"/>
  <c r="C61" i="2" l="1"/>
  <c r="B67" i="2"/>
  <c r="B68" i="2" s="1"/>
  <c r="C63" i="2"/>
  <c r="C54" i="2"/>
  <c r="C55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<sst xmlns="http://schemas.openxmlformats.org/spreadsheetml/2006/main" count="150" uniqueCount="141">
  <si>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</si>
  <si>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</si>
  <si>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</si>
  <si>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</si>
  <si>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</si>
  <si>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</si>
  <si>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</si>
  <si>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</si>
  <si>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</si>
  <si>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</si>
  <si>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</si>
  <si>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</si>
  <si>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</si>
  <si>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</si>
  <si>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</si>
  <si>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</si>
  <si>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</si>
  <si>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</si>
  <si>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</si>
  <si>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</si>
  <si>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</si>
  <si>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</si>
  <si>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</si>
  <si>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</si>
  <si>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</si>
  <si>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</si>
  <si>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</si>
  <si>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</si>
  <si>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</si>
  <si>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</si>
  <si>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</si>
  <si>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</si>
  <si>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</si>
  <si>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</si>
  <si>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</si>
  <si>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</si>
  <si>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</si>
  <si>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</si>
  <si>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</si>
  <si>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</si>
  <si>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</si>
  <si>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</si>
  <si>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</si>
  <si>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</si>
  <si>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</si>
  <si>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</si>
  <si>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</si>
  <si>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1041 S Corning St</t>
  </si>
  <si>
    <t>Los Angeles, CA 90035  |  Pico-Robertson / Beverlywood</t>
  </si>
  <si>
    <t>LoopNet listing</t>
  </si>
  <si>
    <t>Data pulled 9/17/2026 from LoopNet public listing</t>
  </si>
  <si>
    <t>NOTE: UNDER CONTRACT per Filip 9/17/26 (confirm which Corning listing). 15 units plus one non-conforming unit per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</si>
  <si>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</si>
  <si>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</si>
  <si>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</si>
  <si>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</si>
  <si>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</si>
  <si>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</si>
  <si>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</si>
  <si>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</si>
  <si>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</si>
  <si>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R3-1, Los Angeles</t>
  </si>
  <si>
    <t>Occupancy per listing</t>
  </si>
  <si>
    <t>APN</t>
  </si>
  <si>
    <t>4332-025-030</t>
  </si>
  <si>
    <t>Assessed value (current)</t>
  </si>
  <si>
    <t>Listing broker(s)</t>
  </si>
  <si>
    <t>Neema Ahadian, Jeffrey Estrada</t>
  </si>
  <si>
    <t>Date on market</t>
  </si>
  <si>
    <t>7/28/2026</t>
  </si>
  <si>
    <t>Listing last updated</t>
  </si>
  <si>
    <t>8/26/2026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</si>
  <si>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</si>
  <si>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</si>
  <si>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</si>
  <si>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</si>
  <si>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</si>
  <si>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</si>
  <si>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</si>
  <si>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</si>
  <si>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</si>
  <si>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</si>
  <si>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</si>
  <si>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</si>
  <si>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</si>
  <si>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(~750 SF)</t>
  </si>
  <si>
    <t>Allocated from published GRM (price / GRM) using LAAA bed weights</t>
  </si>
  <si>
    <t>2 Bd / 2 Ba  (~950 SF)</t>
  </si>
  <si>
    <t>3 Bd / 3 Ba  (~1200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</si>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</sst>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86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FA163C3-5E03-44E9-87EC-5C165937EF0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8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041-S-Corning-St-Los-Angeles-CA/414656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6B1C-2296-4571-909D-156F0F16079D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DA8D-F9CF-4C8F-930A-5E495B05A71E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15</v>
      </c>
    </row>
    <row r="8" spans="1:3" x14ac:dyDescent="0.25">
      <c r="A8" t="s">
        <v>54</v>
      </c>
      <c r="B8" s="15">
        <v>16234</v>
      </c>
    </row>
    <row r="9" spans="1:3" x14ac:dyDescent="0.25">
      <c r="A9" t="s">
        <v>55</v>
      </c>
      <c r="B9" s="15">
        <v>12197</v>
      </c>
    </row>
    <row r="10" spans="1:3" x14ac:dyDescent="0.25">
      <c r="A10" t="s">
        <v>56</v>
      </c>
      <c r="B10" s="16">
        <v>0.28000000000000003</v>
      </c>
    </row>
    <row r="11" spans="1:3" x14ac:dyDescent="0.25">
      <c r="A11" t="s">
        <v>57</v>
      </c>
      <c r="B11">
        <v>1962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2625924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4700000</v>
      </c>
    </row>
    <row r="23" spans="1:6" x14ac:dyDescent="0.25">
      <c r="A23" t="s">
        <v>74</v>
      </c>
      <c r="B23" s="8">
        <f>IFERROR(B22/B7,"")</f>
        <v>313333.33333333331</v>
      </c>
    </row>
    <row r="24" spans="1:6" x14ac:dyDescent="0.25">
      <c r="A24" t="s">
        <v>75</v>
      </c>
      <c r="B24" s="17">
        <f>IFERROR(B22/B8,"")</f>
        <v>289.515830972034</v>
      </c>
    </row>
    <row r="25" spans="1:6" x14ac:dyDescent="0.25">
      <c r="A25" t="s">
        <v>76</v>
      </c>
      <c r="B25" s="18">
        <v>5.5E-2</v>
      </c>
    </row>
    <row r="26" spans="1:6" x14ac:dyDescent="0.25">
      <c r="A26" t="s">
        <v>77</v>
      </c>
      <c r="B26" s="19">
        <v>10.48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2</v>
      </c>
      <c r="C30" s="21">
        <v>1873</v>
      </c>
      <c r="D30" s="8">
        <f>B30*C30</f>
        <v>3746</v>
      </c>
      <c r="E30" s="8">
        <f>D30*12</f>
        <v>44952</v>
      </c>
      <c r="F30" s="2" t="s">
        <v>86</v>
      </c>
    </row>
    <row r="31" spans="1:6" x14ac:dyDescent="0.25">
      <c r="A31" t="s">
        <v>87</v>
      </c>
      <c r="B31" s="15">
        <v>12</v>
      </c>
      <c r="C31" s="21">
        <v>2529</v>
      </c>
      <c r="D31" s="8">
        <f>B31*C31</f>
        <v>30348</v>
      </c>
      <c r="E31" s="8">
        <f>D31*12</f>
        <v>364176</v>
      </c>
      <c r="F31" s="2" t="s">
        <v>86</v>
      </c>
    </row>
    <row r="32" spans="1:6" x14ac:dyDescent="0.25">
      <c r="A32" t="s">
        <v>88</v>
      </c>
      <c r="B32" s="15">
        <v>1</v>
      </c>
      <c r="C32" s="21">
        <v>3278</v>
      </c>
      <c r="D32" s="8">
        <f>B32*C32</f>
        <v>3278</v>
      </c>
      <c r="E32" s="8">
        <f>D32*12</f>
        <v>39336</v>
      </c>
      <c r="F32" s="2" t="s">
        <v>86</v>
      </c>
    </row>
    <row r="33" spans="1:6" x14ac:dyDescent="0.25">
      <c r="A33" s="22" t="s">
        <v>89</v>
      </c>
      <c r="B33" s="23">
        <f>SUM(B30:B32)</f>
        <v>15</v>
      </c>
      <c r="C33" s="24">
        <f>IFERROR(D33/B33,"")</f>
        <v>2491.4666666666667</v>
      </c>
      <c r="D33" s="24">
        <f>SUM(D30:D32)</f>
        <v>37372</v>
      </c>
      <c r="E33" s="24">
        <f>SUM(E30:E32)</f>
        <v>448464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5"/>
      <c r="B36" s="25" t="s">
        <v>91</v>
      </c>
      <c r="C36" s="25" t="s">
        <v>92</v>
      </c>
      <c r="D36" s="25"/>
      <c r="E36" s="25"/>
      <c r="F36" s="25" t="s">
        <v>93</v>
      </c>
    </row>
    <row r="37" spans="1:6" x14ac:dyDescent="0.25">
      <c r="A37" t="s">
        <v>94</v>
      </c>
      <c r="B37" s="8">
        <v>448473.28244274808</v>
      </c>
      <c r="C37" s="8">
        <f>E33</f>
        <v>448464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2" t="s">
        <v>97</v>
      </c>
      <c r="B39" s="8">
        <f>B37+B38</f>
        <v>448473.28244274808</v>
      </c>
      <c r="C39" s="8">
        <f>C37+C38</f>
        <v>448464</v>
      </c>
    </row>
    <row r="40" spans="1:6" x14ac:dyDescent="0.25">
      <c r="A40" t="s">
        <v>98</v>
      </c>
      <c r="B40" s="8">
        <f>-B37*0.03</f>
        <v>-13454.198473282442</v>
      </c>
      <c r="C40" s="8">
        <f>-C37*Assumptions!$B$3</f>
        <v>-13453.92</v>
      </c>
      <c r="F40" s="2" t="s">
        <v>99</v>
      </c>
    </row>
    <row r="41" spans="1:6" x14ac:dyDescent="0.25">
      <c r="A41" s="22" t="s">
        <v>100</v>
      </c>
      <c r="B41" s="24">
        <f>B39+B40</f>
        <v>435019.08396946563</v>
      </c>
      <c r="C41" s="24">
        <f>C39+C40</f>
        <v>435010.08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5" t="s">
        <v>102</v>
      </c>
      <c r="B44" s="25" t="s">
        <v>91</v>
      </c>
      <c r="C44" s="25" t="s">
        <v>103</v>
      </c>
      <c r="D44" s="25" t="s">
        <v>92</v>
      </c>
      <c r="E44" s="25" t="s">
        <v>104</v>
      </c>
      <c r="F44" s="25" t="s">
        <v>93</v>
      </c>
    </row>
    <row r="45" spans="1:6" x14ac:dyDescent="0.25">
      <c r="A45" t="s">
        <v>105</v>
      </c>
      <c r="B45" s="8"/>
      <c r="C45" s="8">
        <f>B22*Assumptions!$B$15</f>
        <v>58750</v>
      </c>
      <c r="D45" s="26">
        <f>C45</f>
        <v>58750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19234</v>
      </c>
      <c r="D46" s="26">
        <f t="shared" ref="D46:D52" si="1">IF(ISNUMBER(B46),MAX(B46,C46),C46)</f>
        <v>19234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21750.504000000001</v>
      </c>
      <c r="D47" s="26">
        <f t="shared" si="1"/>
        <v>21750.504000000001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18000</v>
      </c>
      <c r="D48" s="26">
        <f t="shared" si="1"/>
        <v>18000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22500</v>
      </c>
      <c r="D49" s="26">
        <f t="shared" si="1"/>
        <v>22500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6000</v>
      </c>
      <c r="D50" s="26">
        <f t="shared" si="1"/>
        <v>6000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3750</v>
      </c>
      <c r="D51" s="26">
        <f t="shared" si="1"/>
        <v>3750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4500</v>
      </c>
      <c r="D52" s="26">
        <f t="shared" si="1"/>
        <v>4500</v>
      </c>
      <c r="E52" s="8" t="str">
        <f t="shared" si="0"/>
        <v/>
      </c>
      <c r="F52" s="2" t="s">
        <v>116</v>
      </c>
    </row>
    <row r="53" spans="1:6" x14ac:dyDescent="0.25">
      <c r="A53" s="22" t="s">
        <v>120</v>
      </c>
      <c r="B53" s="24">
        <f>B41-B22*B25</f>
        <v>176519.08396946563</v>
      </c>
      <c r="C53" s="24">
        <f>SUM(C45:C52)</f>
        <v>154484.50400000002</v>
      </c>
      <c r="D53" s="24">
        <f>SUM(D45:D52)</f>
        <v>154484.50400000002</v>
      </c>
      <c r="E53" s="24">
        <f t="shared" si="0"/>
        <v>-22034.579969465616</v>
      </c>
      <c r="F53" s="2" t="s">
        <v>121</v>
      </c>
    </row>
    <row r="54" spans="1:6" x14ac:dyDescent="0.25">
      <c r="A54" t="s">
        <v>122</v>
      </c>
      <c r="B54" s="8">
        <f>IFERROR(B53/B7,"")</f>
        <v>11767.938931297709</v>
      </c>
      <c r="C54" s="8">
        <f>IFERROR(C53/B7,"")</f>
        <v>10298.966933333335</v>
      </c>
      <c r="D54" s="8">
        <f>IFERROR(D53/B7,"")</f>
        <v>10298.966933333335</v>
      </c>
    </row>
    <row r="55" spans="1:6" x14ac:dyDescent="0.25">
      <c r="A55" t="s">
        <v>123</v>
      </c>
      <c r="B55" s="18">
        <f>IFERROR(B53/B41,"")</f>
        <v>0.40577319587628863</v>
      </c>
      <c r="C55" s="18">
        <f>IFERROR(C53/C41,"")</f>
        <v>0.35512856161861817</v>
      </c>
      <c r="D55" s="18">
        <f>IF(C37&gt;0,IFERROR(D53/C41,""),"")</f>
        <v>0.35512856161861817</v>
      </c>
    </row>
    <row r="56" spans="1:6" x14ac:dyDescent="0.25">
      <c r="A56" s="22" t="s">
        <v>124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5"/>
      <c r="B59" s="25" t="s">
        <v>91</v>
      </c>
      <c r="C59" s="25" t="s">
        <v>92</v>
      </c>
      <c r="D59" s="25"/>
      <c r="E59" s="25"/>
      <c r="F59" s="25" t="s">
        <v>93</v>
      </c>
    </row>
    <row r="60" spans="1:6" x14ac:dyDescent="0.25">
      <c r="A60" s="22" t="s">
        <v>126</v>
      </c>
      <c r="B60" s="24">
        <f>B41-B53</f>
        <v>258500</v>
      </c>
      <c r="C60" s="24">
        <f>IF(C37&gt;0,C41-D53,"")</f>
        <v>280525.576</v>
      </c>
    </row>
    <row r="61" spans="1:6" x14ac:dyDescent="0.25">
      <c r="A61" s="22" t="s">
        <v>127</v>
      </c>
      <c r="B61" s="18">
        <f>IFERROR(B60/B22,"")</f>
        <v>5.5E-2</v>
      </c>
      <c r="C61" s="18">
        <f>IF(C60="","",IFERROR(C60/B22,""))</f>
        <v>5.9686292765957445E-2</v>
      </c>
      <c r="F61" s="2" t="s">
        <v>128</v>
      </c>
    </row>
    <row r="62" spans="1:6" x14ac:dyDescent="0.25">
      <c r="A62" t="s">
        <v>129</v>
      </c>
      <c r="B62" s="19">
        <f>IFERROR(B22/B37,"")</f>
        <v>10.48</v>
      </c>
      <c r="C62" s="19">
        <f>IF(C37&gt;0,IFERROR(B22/C37,""),"")</f>
        <v>10.480216918191873</v>
      </c>
    </row>
    <row r="63" spans="1:6" x14ac:dyDescent="0.25">
      <c r="A63" t="s">
        <v>130</v>
      </c>
      <c r="B63" s="8">
        <f>IFERROR(B60/B7,"")</f>
        <v>17233.333333333332</v>
      </c>
      <c r="C63" s="8">
        <f>IF(C60="","",IFERROR(C60/B7,""))</f>
        <v>18701.705066666666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2820000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3037385.5162265156</v>
      </c>
    </row>
    <row r="68" spans="1:6" x14ac:dyDescent="0.25">
      <c r="A68" s="22" t="s">
        <v>134</v>
      </c>
      <c r="B68" s="8">
        <f>IFERROR(MIN(B66,B67),"")</f>
        <v>2820000</v>
      </c>
    </row>
    <row r="69" spans="1:6" x14ac:dyDescent="0.25">
      <c r="A69" t="s">
        <v>135</v>
      </c>
      <c r="B69" s="8">
        <f>IFERROR(B22-B68,"")</f>
        <v>1880000</v>
      </c>
    </row>
    <row r="70" spans="1:6" x14ac:dyDescent="0.25">
      <c r="A70" t="s">
        <v>136</v>
      </c>
      <c r="B70" s="8">
        <f>IFERROR(-PMT(Assumptions!$B$22/12,Assumptions!$B$23*12,B68)*12,"")</f>
        <v>208358.70062429091</v>
      </c>
    </row>
    <row r="71" spans="1:6" x14ac:dyDescent="0.25">
      <c r="A71" t="s">
        <v>137</v>
      </c>
      <c r="B71" s="19">
        <f>IFERROR(C60/B70,"")</f>
        <v>1.3463588281145948</v>
      </c>
    </row>
    <row r="72" spans="1:6" x14ac:dyDescent="0.25">
      <c r="A72" t="s">
        <v>138</v>
      </c>
      <c r="B72" s="8">
        <f>IFERROR(C60-B70,"")</f>
        <v>72166.875375709089</v>
      </c>
    </row>
    <row r="73" spans="1:6" x14ac:dyDescent="0.25">
      <c r="A73" t="s">
        <v>139</v>
      </c>
      <c r="B73" s="18">
        <f>IFERROR(B72/B69,"")</f>
        <v>3.8386635838143134E-2</v>
      </c>
    </row>
    <row r="75" spans="1:6" x14ac:dyDescent="0.25">
      <c r="A75" s="2" t="s">
        <v>140</v>
      </c>
    </row>
  </sheetData>
  <hyperlinks>
    <hyperlink ref="A3" r:id="rId1" xr:uid="{373932CC-0EFE-4BC0-A1F8-1401DE356245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15 1041 S Corning St</vt:lpstr>
      <vt:lpstr>'15 1041 S Corning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2026-09-17T19:25:44Z</dcterms:created>
  <dcterms:modified xsi:type="dcterms:W3CDTF">2026-09-17T19:25:48Z</dcterms:modified>
</cp:coreProperties>
</file>