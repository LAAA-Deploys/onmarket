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837983E5-65A3-416C-81C8-17F3A37CB5B8}" xr6:coauthVersionLast="47" xr6:coauthVersionMax="47" xr10:uidLastSave="{00000000-0000-0000-0000-000000000000}"/>
  <bookViews>
    <workbookView xWindow="-120" yWindow="-120" windowWidth="29040" windowHeight="15720" activeTab="1" xr2:uid="{79770E1B-05B8-47B2-8526-6EA95439DD4B}"/>
  </bookViews>
  <sheets>
    <sheet name="Assumptions" sheetId="1" r:id="rId1"/>
    <sheet name="14 1524 Granville Ave" sheetId="2" r:id="rId2"/>
  </sheets>
  <definedNames>
    <definedName name="_xlnm.Print_Area" localSheetId="1">'14 1524 Granville Ave'!$A$1:$N$78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1" i="2"/>
  <c r="E51" i="2"/>
  <c r="C51" i="2"/>
  <c r="D51" i="2" s="1"/>
  <c r="E50" i="2"/>
  <c r="C50" i="2"/>
  <c r="D50" i="2" s="1"/>
  <c r="E49" i="2"/>
  <c r="C49" i="2"/>
  <c r="D49" i="2" s="1"/>
  <c r="E48" i="2"/>
  <c r="C48" i="2"/>
  <c r="D48" i="2" s="1"/>
  <c r="E47" i="2"/>
  <c r="C47" i="2"/>
  <c r="D47" i="2" s="1"/>
  <c r="E46" i="2"/>
  <c r="E45" i="2"/>
  <c r="C45" i="2"/>
  <c r="D45" i="2" s="1"/>
  <c r="E44" i="2"/>
  <c r="C44" i="2"/>
  <c r="B39" i="2"/>
  <c r="B38" i="2"/>
  <c r="B40" i="2" s="1"/>
  <c r="D32" i="2"/>
  <c r="C32" i="2" s="1"/>
  <c r="B32" i="2"/>
  <c r="D31" i="2"/>
  <c r="E31" i="2" s="1"/>
  <c r="D30" i="2"/>
  <c r="E30" i="2" s="1"/>
  <c r="E32" i="2" s="1"/>
  <c r="C36" i="2" s="1"/>
  <c r="B24" i="2"/>
  <c r="B23" i="2"/>
  <c r="B52" i="2" l="1"/>
  <c r="B59" i="2"/>
  <c r="C39" i="2"/>
  <c r="C38" i="2"/>
  <c r="C40" i="2" s="1"/>
  <c r="C46" i="2" s="1"/>
  <c r="D46" i="2" s="1"/>
  <c r="C61" i="2"/>
  <c r="D44" i="2"/>
  <c r="D52" i="2" s="1"/>
  <c r="D53" i="2" s="1"/>
  <c r="C59" i="2" l="1"/>
  <c r="D54" i="2"/>
  <c r="B60" i="2"/>
  <c r="B62" i="2"/>
  <c r="C52" i="2"/>
  <c r="B55" i="2"/>
  <c r="B54" i="2"/>
  <c r="B53" i="2"/>
  <c r="E52" i="2"/>
  <c r="C53" i="2" l="1"/>
  <c r="C54" i="2"/>
  <c r="C60" i="2"/>
  <c r="B66" i="2"/>
  <c r="B67" i="2" s="1"/>
  <c r="C62" i="2"/>
  <c r="B69" i="2" l="1"/>
  <c r="B68" i="2"/>
  <c r="B70" i="2" l="1"/>
  <c r="B71" i="2"/>
  <c r="B72" i="2" s="1"/>
</calcChain>
</file>

<file path=xl/sharedStrings.xml><?xml version="1.0" encoding="utf-8"?>
<sst xmlns="http://schemas.openxmlformats.org/spreadsheetml/2006/main" count="149" uniqueCount="141">
  <si>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</si>
  <si>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</si>
  <si>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</si>
  <si>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</si>
  <si>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</si>
  <si>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</si>
  <si>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</si>
  <si>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</si>
  <si>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</si>
  <si>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</si>
  <si>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</si>
  <si>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</si>
  <si>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</si>
  <si>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</si>
  <si>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</si>
  <si>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</si>
  <si>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</si>
  <si>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</si>
  <si>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</si>
  <si>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</si>
  <si>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</si>
  <si>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</si>
  <si>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</si>
  <si>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</si>
  <si>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</si>
  <si>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</si>
  <si>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</si>
  <si>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</si>
  <si>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</si>
  <si>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</si>
  <si>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</si>
  <si>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</si>
  <si>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</si>
  <si>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</si>
  <si>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</si>
  <si>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</si>
  <si>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</si>
  <si>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</si>
  <si>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</si>
  <si>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</si>
  <si>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</si>
  <si>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</si>
  <si>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</si>
  <si>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</si>
  <si>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</si>
  <si>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</si>
  <si>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</si>
  <si>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1524 Granville Ave</t>
  </si>
  <si>
    <t>Los Angeles, CA 90025  |  West LA / Sawtelle</t>
  </si>
  <si>
    <t>LoopNet listing</t>
  </si>
  <si>
    <t>Data pulled 9/17/2026 from LoopNet public listing</t>
  </si>
  <si>
    <t>NOTE: 1988 build, RSO exempt</t>
  </si>
  <si>
    <t>PROPERTY</t>
  </si>
  <si>
    <t>Units</t>
  </si>
  <si>
    <t>Gross building SF</t>
  </si>
  <si>
    <t>Lot SF</t>
  </si>
  <si>
    <t>Lot acres</t>
  </si>
  <si>
    <t>Year built</t>
  </si>
  <si>
    <t>Stories</t>
  </si>
  <si>
    <t>3</t>
  </si>
  <si>
    <t>Zoning</t>
  </si>
  <si>
    <t>LAR3</t>
  </si>
  <si>
    <t>Occupancy per listing</t>
  </si>
  <si>
    <t>90%</t>
  </si>
  <si>
    <t>APN</t>
  </si>
  <si>
    <t>4262-006-031</t>
  </si>
  <si>
    <t>Assessed value (current)</t>
  </si>
  <si>
    <t>Listing broker(s)</t>
  </si>
  <si>
    <t>Jonathan Taksa</t>
  </si>
  <si>
    <t>Date on market</t>
  </si>
  <si>
    <t>8/24/2026</t>
  </si>
  <si>
    <t>Listing last updated</t>
  </si>
  <si>
    <t>9/16/2026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</si>
  <si>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</si>
  <si>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</si>
  <si>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</si>
  <si>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</si>
  <si>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</si>
  <si>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</si>
  <si>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</si>
  <si>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</si>
  <si>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</si>
  <si>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</si>
  <si>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</si>
  <si>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</si>
  <si>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</si>
  <si>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2 Bd / 2.5 Ba  (~1200 SF)</t>
  </si>
  <si>
    <t>Allocated from published GRM (price / GRM) using LAAA bed weights</t>
  </si>
  <si>
    <t>3 Bd / 3 Ba  (~1300 SF)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</si>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</sst>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D55C51D8-D6EB-4F0A-9410-0B1022FC240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524-Granville-Ave-Los-Angeles-CA/4186090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43225-613D-4CA0-88F0-384F0463BFA8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E51A2-A070-4CE4-961A-238A4CCB32A0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10</v>
      </c>
    </row>
    <row r="8" spans="1:3" x14ac:dyDescent="0.25">
      <c r="A8" t="s">
        <v>54</v>
      </c>
      <c r="B8" s="15">
        <v>14298</v>
      </c>
    </row>
    <row r="9" spans="1:3" x14ac:dyDescent="0.25">
      <c r="A9" t="s">
        <v>55</v>
      </c>
      <c r="B9" s="15">
        <v>6970</v>
      </c>
    </row>
    <row r="10" spans="1:3" x14ac:dyDescent="0.25">
      <c r="A10" t="s">
        <v>56</v>
      </c>
      <c r="B10" s="16">
        <v>0.16</v>
      </c>
    </row>
    <row r="11" spans="1:3" x14ac:dyDescent="0.25">
      <c r="A11" t="s">
        <v>57</v>
      </c>
      <c r="B11">
        <v>1988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5945429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5250000</v>
      </c>
    </row>
    <row r="23" spans="1:6" x14ac:dyDescent="0.25">
      <c r="A23" t="s">
        <v>75</v>
      </c>
      <c r="B23" s="8">
        <f>IFERROR(B22/B7,"")</f>
        <v>525000</v>
      </c>
    </row>
    <row r="24" spans="1:6" x14ac:dyDescent="0.25">
      <c r="A24" t="s">
        <v>76</v>
      </c>
      <c r="B24" s="17">
        <f>IFERROR(B22/B8,"")</f>
        <v>367.1842215694503</v>
      </c>
    </row>
    <row r="25" spans="1:6" x14ac:dyDescent="0.25">
      <c r="A25" t="s">
        <v>77</v>
      </c>
      <c r="B25" s="18">
        <v>5.5399999999999998E-2</v>
      </c>
    </row>
    <row r="26" spans="1:6" x14ac:dyDescent="0.25">
      <c r="A26" t="s">
        <v>78</v>
      </c>
      <c r="B26" s="19">
        <v>11.87</v>
      </c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86</v>
      </c>
      <c r="B30" s="15">
        <v>7</v>
      </c>
      <c r="C30" s="21">
        <v>3385</v>
      </c>
      <c r="D30" s="8">
        <f>B30*C30</f>
        <v>23695</v>
      </c>
      <c r="E30" s="8">
        <f>D30*12</f>
        <v>284340</v>
      </c>
      <c r="F30" s="2" t="s">
        <v>87</v>
      </c>
    </row>
    <row r="31" spans="1:6" x14ac:dyDescent="0.25">
      <c r="A31" t="s">
        <v>88</v>
      </c>
      <c r="B31" s="15">
        <v>3</v>
      </c>
      <c r="C31" s="21">
        <v>4388</v>
      </c>
      <c r="D31" s="8">
        <f>B31*C31</f>
        <v>13164</v>
      </c>
      <c r="E31" s="8">
        <f>D31*12</f>
        <v>157968</v>
      </c>
      <c r="F31" s="2" t="s">
        <v>87</v>
      </c>
    </row>
    <row r="32" spans="1:6" x14ac:dyDescent="0.25">
      <c r="A32" s="22" t="s">
        <v>89</v>
      </c>
      <c r="B32" s="23">
        <f>SUM(B30:B31)</f>
        <v>10</v>
      </c>
      <c r="C32" s="24">
        <f>IFERROR(D32/B32,"")</f>
        <v>3685.9</v>
      </c>
      <c r="D32" s="24">
        <f>SUM(D30:D31)</f>
        <v>36859</v>
      </c>
      <c r="E32" s="24">
        <f>SUM(E30:E31)</f>
        <v>442308</v>
      </c>
    </row>
    <row r="34" spans="1:6" x14ac:dyDescent="0.25">
      <c r="A34" s="13" t="s">
        <v>90</v>
      </c>
      <c r="B34" s="14"/>
      <c r="C34" s="14"/>
      <c r="D34" s="14"/>
      <c r="E34" s="14"/>
      <c r="F34" s="14"/>
    </row>
    <row r="35" spans="1:6" x14ac:dyDescent="0.25">
      <c r="A35" s="25"/>
      <c r="B35" s="25" t="s">
        <v>91</v>
      </c>
      <c r="C35" s="25" t="s">
        <v>92</v>
      </c>
      <c r="D35" s="25"/>
      <c r="E35" s="25"/>
      <c r="F35" s="25" t="s">
        <v>93</v>
      </c>
    </row>
    <row r="36" spans="1:6" x14ac:dyDescent="0.25">
      <c r="A36" t="s">
        <v>94</v>
      </c>
      <c r="B36" s="8">
        <v>442291.49115417019</v>
      </c>
      <c r="C36" s="8">
        <f>E32</f>
        <v>442308</v>
      </c>
      <c r="F36" s="2" t="s">
        <v>95</v>
      </c>
    </row>
    <row r="37" spans="1:6" x14ac:dyDescent="0.25">
      <c r="A37" t="s">
        <v>96</v>
      </c>
      <c r="B37" s="8">
        <v>0</v>
      </c>
      <c r="C37" s="4">
        <v>0</v>
      </c>
    </row>
    <row r="38" spans="1:6" x14ac:dyDescent="0.25">
      <c r="A38" s="22" t="s">
        <v>97</v>
      </c>
      <c r="B38" s="8">
        <f>B36+B37</f>
        <v>442291.49115417019</v>
      </c>
      <c r="C38" s="8">
        <f>C36+C37</f>
        <v>442308</v>
      </c>
    </row>
    <row r="39" spans="1:6" x14ac:dyDescent="0.25">
      <c r="A39" t="s">
        <v>98</v>
      </c>
      <c r="B39" s="8">
        <f>-B36*0.03</f>
        <v>-13268.744734625105</v>
      </c>
      <c r="C39" s="8">
        <f>-C36*Assumptions!$B$3</f>
        <v>-13269.24</v>
      </c>
      <c r="F39" s="2" t="s">
        <v>99</v>
      </c>
    </row>
    <row r="40" spans="1:6" x14ac:dyDescent="0.25">
      <c r="A40" s="22" t="s">
        <v>100</v>
      </c>
      <c r="B40" s="24">
        <f>B38+B39</f>
        <v>429022.74641954509</v>
      </c>
      <c r="C40" s="24">
        <f>C38+C39</f>
        <v>429038.76</v>
      </c>
    </row>
    <row r="42" spans="1:6" x14ac:dyDescent="0.25">
      <c r="A42" s="13" t="s">
        <v>101</v>
      </c>
      <c r="B42" s="14"/>
      <c r="C42" s="14"/>
      <c r="D42" s="14"/>
      <c r="E42" s="14"/>
      <c r="F42" s="14"/>
    </row>
    <row r="43" spans="1:6" x14ac:dyDescent="0.25">
      <c r="A43" s="25" t="s">
        <v>102</v>
      </c>
      <c r="B43" s="25" t="s">
        <v>91</v>
      </c>
      <c r="C43" s="25" t="s">
        <v>103</v>
      </c>
      <c r="D43" s="25" t="s">
        <v>92</v>
      </c>
      <c r="E43" s="25" t="s">
        <v>104</v>
      </c>
      <c r="F43" s="25" t="s">
        <v>93</v>
      </c>
    </row>
    <row r="44" spans="1:6" x14ac:dyDescent="0.25">
      <c r="A44" t="s">
        <v>105</v>
      </c>
      <c r="B44" s="8"/>
      <c r="C44" s="8">
        <f>B22*Assumptions!$B$15</f>
        <v>65625</v>
      </c>
      <c r="D44" s="26">
        <f>C44</f>
        <v>65625</v>
      </c>
      <c r="E44" s="8" t="str">
        <f t="shared" ref="E44:E52" si="0">IF(ISNUMBER(B44),D44-B44,"")</f>
        <v/>
      </c>
      <c r="F44" s="2" t="s">
        <v>106</v>
      </c>
    </row>
    <row r="45" spans="1:6" x14ac:dyDescent="0.25">
      <c r="A45" t="s">
        <v>107</v>
      </c>
      <c r="B45" s="8"/>
      <c r="C45" s="8">
        <f>B7*Assumptions!$B$5+B8*Assumptions!$B$6</f>
        <v>16298</v>
      </c>
      <c r="D45" s="26">
        <f t="shared" ref="D45:D51" si="1">IF(ISNUMBER(B45),MAX(B45,C45),C45)</f>
        <v>16298</v>
      </c>
      <c r="E45" s="8" t="str">
        <f t="shared" si="0"/>
        <v/>
      </c>
      <c r="F45" s="2" t="s">
        <v>108</v>
      </c>
    </row>
    <row r="46" spans="1:6" x14ac:dyDescent="0.25">
      <c r="A46" t="s">
        <v>109</v>
      </c>
      <c r="B46" s="8"/>
      <c r="C46" s="8">
        <f>C40*Assumptions!$B$4</f>
        <v>21451.938000000002</v>
      </c>
      <c r="D46" s="26">
        <f t="shared" si="1"/>
        <v>21451.938000000002</v>
      </c>
      <c r="E46" s="8" t="str">
        <f t="shared" si="0"/>
        <v/>
      </c>
      <c r="F46" s="2" t="s">
        <v>110</v>
      </c>
    </row>
    <row r="47" spans="1:6" x14ac:dyDescent="0.25">
      <c r="A47" t="s">
        <v>111</v>
      </c>
      <c r="B47" s="8"/>
      <c r="C47" s="8">
        <f>B7*Assumptions!$B$7</f>
        <v>12000</v>
      </c>
      <c r="D47" s="26">
        <f t="shared" si="1"/>
        <v>12000</v>
      </c>
      <c r="E47" s="8" t="str">
        <f t="shared" si="0"/>
        <v/>
      </c>
      <c r="F47" s="2" t="s">
        <v>112</v>
      </c>
    </row>
    <row r="48" spans="1:6" x14ac:dyDescent="0.25">
      <c r="A48" t="s">
        <v>113</v>
      </c>
      <c r="B48" s="8"/>
      <c r="C48" s="8">
        <f>B7*Assumptions!$B$9</f>
        <v>15000</v>
      </c>
      <c r="D48" s="26">
        <f t="shared" si="1"/>
        <v>15000</v>
      </c>
      <c r="E48" s="8" t="str">
        <f t="shared" si="0"/>
        <v/>
      </c>
      <c r="F48" s="2" t="s">
        <v>114</v>
      </c>
    </row>
    <row r="49" spans="1:6" x14ac:dyDescent="0.25">
      <c r="A49" t="s">
        <v>115</v>
      </c>
      <c r="B49" s="8"/>
      <c r="C49" s="8">
        <f>B7*Assumptions!$B$12</f>
        <v>4000</v>
      </c>
      <c r="D49" s="26">
        <f t="shared" si="1"/>
        <v>4000</v>
      </c>
      <c r="E49" s="8" t="str">
        <f t="shared" si="0"/>
        <v/>
      </c>
      <c r="F49" s="2" t="s">
        <v>116</v>
      </c>
    </row>
    <row r="50" spans="1:6" x14ac:dyDescent="0.25">
      <c r="A50" t="s">
        <v>117</v>
      </c>
      <c r="B50" s="8"/>
      <c r="C50" s="8">
        <f>B7*Assumptions!$B$13</f>
        <v>2500</v>
      </c>
      <c r="D50" s="26">
        <f t="shared" si="1"/>
        <v>2500</v>
      </c>
      <c r="E50" s="8" t="str">
        <f t="shared" si="0"/>
        <v/>
      </c>
      <c r="F50" s="2" t="s">
        <v>118</v>
      </c>
    </row>
    <row r="51" spans="1:6" x14ac:dyDescent="0.25">
      <c r="A51" t="s">
        <v>119</v>
      </c>
      <c r="B51" s="8"/>
      <c r="C51" s="8">
        <f>B7*Assumptions!$B$14</f>
        <v>3000</v>
      </c>
      <c r="D51" s="26">
        <f t="shared" si="1"/>
        <v>3000</v>
      </c>
      <c r="E51" s="8" t="str">
        <f t="shared" si="0"/>
        <v/>
      </c>
      <c r="F51" s="2" t="s">
        <v>116</v>
      </c>
    </row>
    <row r="52" spans="1:6" x14ac:dyDescent="0.25">
      <c r="A52" s="22" t="s">
        <v>120</v>
      </c>
      <c r="B52" s="24">
        <f>B40-B22*B25</f>
        <v>138172.74641954509</v>
      </c>
      <c r="C52" s="24">
        <f>SUM(C44:C51)</f>
        <v>139874.93799999999</v>
      </c>
      <c r="D52" s="24">
        <f>SUM(D44:D51)</f>
        <v>139874.93799999999</v>
      </c>
      <c r="E52" s="24">
        <f t="shared" si="0"/>
        <v>1702.1915804549062</v>
      </c>
      <c r="F52" s="2" t="s">
        <v>121</v>
      </c>
    </row>
    <row r="53" spans="1:6" x14ac:dyDescent="0.25">
      <c r="A53" t="s">
        <v>122</v>
      </c>
      <c r="B53" s="8">
        <f>IFERROR(B52/B7,"")</f>
        <v>13817.274641954509</v>
      </c>
      <c r="C53" s="8">
        <f>IFERROR(C52/B7,"")</f>
        <v>13987.4938</v>
      </c>
      <c r="D53" s="8">
        <f>IFERROR(D52/B7,"")</f>
        <v>13987.4938</v>
      </c>
    </row>
    <row r="54" spans="1:6" x14ac:dyDescent="0.25">
      <c r="A54" t="s">
        <v>123</v>
      </c>
      <c r="B54" s="18">
        <f>IFERROR(B52/B40,"")</f>
        <v>0.32206391752577324</v>
      </c>
      <c r="C54" s="18">
        <f>IFERROR(C52/C40,"")</f>
        <v>0.3260193507924552</v>
      </c>
      <c r="D54" s="18">
        <f>IF(C36&gt;0,IFERROR(D52/C40,""),"")</f>
        <v>0.3260193507924552</v>
      </c>
    </row>
    <row r="55" spans="1:6" x14ac:dyDescent="0.25">
      <c r="A55" s="22" t="s">
        <v>124</v>
      </c>
      <c r="B55" s="12" t="str">
        <f>IF(ISNUMBER(B52),IF(D52&gt;B52*(1+Assumptions!$B$24),"OM EXPENSES LIGHT","OM expenses reasonable"),"OM expenses not published")</f>
        <v>OM expenses reasonable</v>
      </c>
    </row>
    <row r="57" spans="1:6" x14ac:dyDescent="0.25">
      <c r="A57" s="13" t="s">
        <v>125</v>
      </c>
      <c r="B57" s="14"/>
      <c r="C57" s="14"/>
      <c r="D57" s="14"/>
      <c r="E57" s="14"/>
      <c r="F57" s="14"/>
    </row>
    <row r="58" spans="1:6" x14ac:dyDescent="0.25">
      <c r="A58" s="25"/>
      <c r="B58" s="25" t="s">
        <v>91</v>
      </c>
      <c r="C58" s="25" t="s">
        <v>92</v>
      </c>
      <c r="D58" s="25"/>
      <c r="E58" s="25"/>
      <c r="F58" s="25" t="s">
        <v>93</v>
      </c>
    </row>
    <row r="59" spans="1:6" x14ac:dyDescent="0.25">
      <c r="A59" s="22" t="s">
        <v>126</v>
      </c>
      <c r="B59" s="24">
        <f>B40-B52</f>
        <v>290850</v>
      </c>
      <c r="C59" s="24">
        <f>IF(C36&gt;0,C40-D52,"")</f>
        <v>289163.82200000004</v>
      </c>
    </row>
    <row r="60" spans="1:6" x14ac:dyDescent="0.25">
      <c r="A60" s="22" t="s">
        <v>127</v>
      </c>
      <c r="B60" s="18">
        <f>IFERROR(B59/B22,"")</f>
        <v>5.5399999999999998E-2</v>
      </c>
      <c r="C60" s="18">
        <f>IF(C59="","",IFERROR(C59/B22,""))</f>
        <v>5.5078823238095244E-2</v>
      </c>
      <c r="F60" s="2" t="s">
        <v>128</v>
      </c>
    </row>
    <row r="61" spans="1:6" x14ac:dyDescent="0.25">
      <c r="A61" t="s">
        <v>129</v>
      </c>
      <c r="B61" s="19">
        <f>IFERROR(B22/B36,"")</f>
        <v>11.87</v>
      </c>
      <c r="C61" s="19">
        <f>IF(C36&gt;0,IFERROR(B22/C36,""),"")</f>
        <v>11.869556960308202</v>
      </c>
    </row>
    <row r="62" spans="1:6" x14ac:dyDescent="0.25">
      <c r="A62" t="s">
        <v>130</v>
      </c>
      <c r="B62" s="8">
        <f>IFERROR(B59/B7,"")</f>
        <v>29085</v>
      </c>
      <c r="C62" s="8">
        <f>IF(C59="","",IFERROR(C59/B7,""))</f>
        <v>28916.382200000004</v>
      </c>
    </row>
    <row r="64" spans="1:6" x14ac:dyDescent="0.25">
      <c r="A64" s="13" t="s">
        <v>131</v>
      </c>
      <c r="B64" s="14"/>
      <c r="C64" s="14"/>
      <c r="D64" s="14"/>
      <c r="E64" s="14"/>
      <c r="F64" s="14"/>
    </row>
    <row r="65" spans="1:2" x14ac:dyDescent="0.25">
      <c r="A65" t="s">
        <v>132</v>
      </c>
      <c r="B65" s="8">
        <f>IFERROR(B22*Assumptions!$B$20,"")</f>
        <v>3150000</v>
      </c>
    </row>
    <row r="66" spans="1:2" x14ac:dyDescent="0.25">
      <c r="A66" t="s">
        <v>133</v>
      </c>
      <c r="B66" s="8">
        <f>IF(C59="","",IFERROR(PV(Assumptions!$B$22/12,Assumptions!$B$23*12,-C59/Assumptions!$B$21/12),""))</f>
        <v>3130915.9659634833</v>
      </c>
    </row>
    <row r="67" spans="1:2" x14ac:dyDescent="0.25">
      <c r="A67" s="22" t="s">
        <v>134</v>
      </c>
      <c r="B67" s="8">
        <f>IFERROR(MIN(B65,B66),"")</f>
        <v>3130915.9659634833</v>
      </c>
    </row>
    <row r="68" spans="1:2" x14ac:dyDescent="0.25">
      <c r="A68" t="s">
        <v>135</v>
      </c>
      <c r="B68" s="8">
        <f>IFERROR(B22-B67,"")</f>
        <v>2119084.0340365167</v>
      </c>
    </row>
    <row r="69" spans="1:2" x14ac:dyDescent="0.25">
      <c r="A69" t="s">
        <v>136</v>
      </c>
      <c r="B69" s="8">
        <f>IFERROR(-PMT(Assumptions!$B$22/12,Assumptions!$B$23*12,B67)*12,"")</f>
        <v>231331.05759999927</v>
      </c>
    </row>
    <row r="70" spans="1:2" x14ac:dyDescent="0.25">
      <c r="A70" t="s">
        <v>137</v>
      </c>
      <c r="B70" s="19">
        <f>IFERROR(C59/B69,"")</f>
        <v>1.2500000000000042</v>
      </c>
    </row>
    <row r="71" spans="1:2" x14ac:dyDescent="0.25">
      <c r="A71" t="s">
        <v>138</v>
      </c>
      <c r="B71" s="8">
        <f>IFERROR(C59-B69,"")</f>
        <v>57832.764400000771</v>
      </c>
    </row>
    <row r="72" spans="1:2" x14ac:dyDescent="0.25">
      <c r="A72" t="s">
        <v>139</v>
      </c>
      <c r="B72" s="18">
        <f>IFERROR(B71/B68,"")</f>
        <v>2.7291397354279805E-2</v>
      </c>
    </row>
    <row r="74" spans="1:2" x14ac:dyDescent="0.25">
      <c r="A74" s="2" t="s">
        <v>140</v>
      </c>
    </row>
  </sheetData>
  <hyperlinks>
    <hyperlink ref="A3" r:id="rId1" xr:uid="{A66E4681-9DC5-4D88-9E2D-7080439FD78B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14 1524 Granville Ave</vt:lpstr>
      <vt:lpstr>'14 1524 Granville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2026-09-17T19:25:38Z</dcterms:created>
  <dcterms:modified xsi:type="dcterms:W3CDTF">2026-09-17T19:25:42Z</dcterms:modified>
</cp:coreProperties>
</file>