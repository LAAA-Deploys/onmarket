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niculete\LAAA-Deploys\onmarket\files\"/>
    </mc:Choice>
  </mc:AlternateContent>
  <xr:revisionPtr revIDLastSave="0" documentId="8_{D43BAACF-6CB3-4D36-B6BE-4DB8966A65BE}" xr6:coauthVersionLast="47" xr6:coauthVersionMax="47" xr10:uidLastSave="{00000000-0000-0000-0000-000000000000}"/>
  <bookViews>
    <workbookView xWindow="-120" yWindow="-120" windowWidth="29040" windowHeight="15720" activeTab="1" xr2:uid="{390B8E41-5716-4EE3-9120-50D818E7815C}"/>
  </bookViews>
  <sheets>
    <sheet name="Assumptions" sheetId="1" r:id="rId1"/>
    <sheet name="08 1811 S Bentley A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7" i="2" l="1"/>
  <c r="B63" i="2"/>
  <c r="B55" i="2"/>
  <c r="B54" i="2"/>
  <c r="C53" i="2"/>
  <c r="D53" i="2" s="1"/>
  <c r="E53" i="2" s="1"/>
  <c r="C52" i="2"/>
  <c r="D52" i="2" s="1"/>
  <c r="E52" i="2" s="1"/>
  <c r="C51" i="2"/>
  <c r="D51" i="2" s="1"/>
  <c r="E51" i="2" s="1"/>
  <c r="D50" i="2"/>
  <c r="E50" i="2" s="1"/>
  <c r="C50" i="2"/>
  <c r="C49" i="2"/>
  <c r="D49" i="2" s="1"/>
  <c r="E49" i="2" s="1"/>
  <c r="C47" i="2"/>
  <c r="D47" i="2" s="1"/>
  <c r="E47" i="2" s="1"/>
  <c r="D46" i="2"/>
  <c r="C46" i="2"/>
  <c r="B41" i="2"/>
  <c r="B40" i="2"/>
  <c r="B42" i="2" s="1"/>
  <c r="D34" i="2"/>
  <c r="C34" i="2" s="1"/>
  <c r="B34" i="2"/>
  <c r="E33" i="2"/>
  <c r="D33" i="2"/>
  <c r="D32" i="2"/>
  <c r="E32" i="2" s="1"/>
  <c r="D31" i="2"/>
  <c r="E31" i="2" s="1"/>
  <c r="D30" i="2"/>
  <c r="E30" i="2" s="1"/>
  <c r="E34" i="2" s="1"/>
  <c r="C38" i="2" s="1"/>
  <c r="B24" i="2"/>
  <c r="B23" i="2"/>
  <c r="C41" i="2" l="1"/>
  <c r="C40" i="2"/>
  <c r="C42" i="2" s="1"/>
  <c r="C48" i="2" s="1"/>
  <c r="D48" i="2" s="1"/>
  <c r="E48" i="2" s="1"/>
  <c r="C63" i="2"/>
  <c r="B61" i="2"/>
  <c r="B56" i="2"/>
  <c r="C54" i="2"/>
  <c r="E46" i="2"/>
  <c r="C56" i="2" l="1"/>
  <c r="C55" i="2"/>
  <c r="D54" i="2"/>
  <c r="B62" i="2"/>
  <c r="B64" i="2"/>
  <c r="C61" i="2"/>
  <c r="D55" i="2" l="1"/>
  <c r="E54" i="2"/>
  <c r="D56" i="2"/>
  <c r="B57" i="2"/>
  <c r="C62" i="2"/>
  <c r="B68" i="2"/>
  <c r="B69" i="2" s="1"/>
  <c r="C64" i="2"/>
  <c r="B71" i="2" l="1"/>
  <c r="B70" i="2"/>
  <c r="B73" i="2" l="1"/>
  <c r="B74" i="2" s="1"/>
  <c r="B72" i="2"/>
</calcChain>
</file>

<file path=xl/sharedStrings.xml><?xml version="1.0" encoding="utf-8"?>
<sst xmlns="http://schemas.openxmlformats.org/spreadsheetml/2006/main" count="154" uniqueCount="144">
  <si>
    <t>LAAA UNDERWRITING BENCHMARKS (edit here; every deal tab reads these)</t>
  </si>
  <si>
    <t>Vacancy &amp; credit loss (% of GSI)</t>
  </si>
  <si>
    <t>Standard LA practice; vacant units carried at asking rent inside scheduled GSR</t>
  </si>
  <si>
    <t>Management fee (% of EGI)</t>
  </si>
  <si>
    <t>Deal-by-deal agent choice; 5% default, MAX(OM, benchmark) used</t>
  </si>
  <si>
    <t>Insurance: per unit ($)</t>
  </si>
  <si>
    <t>LAAA benchmark = (units x $200) + (gross SF x $1.00)</t>
  </si>
  <si>
    <t>Insurance: per gross SF ($)</t>
  </si>
  <si>
    <t>Repairs &amp; maintenance per unit, pre-1990 ($/yr)</t>
  </si>
  <si>
    <t>Repairs &amp; maintenance per unit, 1990+ ($/yr)</t>
  </si>
  <si>
    <t>Utilities per unit, LA City ($/yr)</t>
  </si>
  <si>
    <t>Owner-paid water/sewer/trash/common electric+gas (LA Sanitation bundles trash)</t>
  </si>
  <si>
    <t>Utilities per unit, Santa Monica ($/yr)</t>
  </si>
  <si>
    <t>Separate trash hauler, higher water rates</t>
  </si>
  <si>
    <t>Utilities per unit, Beverly Hills / WeHo / Culver ($/yr)</t>
  </si>
  <si>
    <t>Contract services per unit ($/yr)</t>
  </si>
  <si>
    <t>Landscaping, pest, common-area cleaning</t>
  </si>
  <si>
    <t>Admin / legal / licenses / rent registration per unit ($/yr)</t>
  </si>
  <si>
    <t>Includes RSO/rent-board fees, business license, bookkeeping</t>
  </si>
  <si>
    <t>Replacement reserves per unit ($/yr)</t>
  </si>
  <si>
    <t>Property tax rate: Los Angeles City</t>
  </si>
  <si>
    <t>Ad valorem + direct assessments, reassessed at purchase price</t>
  </si>
  <si>
    <t>Property tax rate: Santa Monica</t>
  </si>
  <si>
    <t>Property tax rate: Beverly Hills</t>
  </si>
  <si>
    <t>Property tax rate: West Hollywood</t>
  </si>
  <si>
    <t>Property tax rate: Culver City</t>
  </si>
  <si>
    <t>Financing: max LTV</t>
  </si>
  <si>
    <t>Financing: min DCR on LAAA NOI</t>
  </si>
  <si>
    <t>Loan = lesser of LTV loan and DCR-sized loan</t>
  </si>
  <si>
    <t>Financing: interest rate</t>
  </si>
  <si>
    <t>Financing: amortization (years)</t>
  </si>
  <si>
    <t>OM "light" threshold: LAAA total exceeds OM total by more than</t>
  </si>
  <si>
    <t>Flags OM EXPENSES LIGHT on the deal tab and Master List</t>
  </si>
  <si>
    <t>Rent-allocation weights when only GRM is published (relative to 1 Bd)</t>
  </si>
  <si>
    <t>Studio</t>
  </si>
  <si>
    <t>1 Bd</t>
  </si>
  <si>
    <t>2 Bd</t>
  </si>
  <si>
    <t>3 Bd</t>
  </si>
  <si>
    <t>Estimated in-place rents when NOTHING is published (orange cells on deal tabs)</t>
  </si>
  <si>
    <t>Coastal (SM / Venice / WeHo / BH): Studio</t>
  </si>
  <si>
    <t>Coastal: 1 Bd</t>
  </si>
  <si>
    <t>Coastal: 2 Bd</t>
  </si>
  <si>
    <t>Coastal: 3 Bd</t>
  </si>
  <si>
    <t>West LA / Palms / Culver: Studio</t>
  </si>
  <si>
    <t>West LA / Palms / Culver: 1 Bd</t>
  </si>
  <si>
    <t>West LA / Palms / Culver: 2 Bd</t>
  </si>
  <si>
    <t>West LA / Palms / Culver: 3 Bd</t>
  </si>
  <si>
    <t>1811 S Bentley Ave (Brazilia Apts)</t>
  </si>
  <si>
    <t>Los Angeles, CA 90025  |  West LA / Sawtelle</t>
  </si>
  <si>
    <t>LoopNet listing</t>
  </si>
  <si>
    <t>Data pulled 9/17/2026 from LoopNet public listing + rent roll and expenses read from the listing broker's OM (Lyon Stahl / Serhant / Taksa, rent roll 9/1/2026)</t>
  </si>
  <si>
    <t>NOTE: | OM: Rent roll cross-check OK: 15 unit rents sum to $47,128/mo vs OM $47,127 (rounding); x12 = $565,536 vs OM $565,525 annual (0.002%).; Expense line items sum to $188,808, not the OM's stated total of $191,916 (short $3,108, 1.6%). NOI of $359,435 is computed off the $191,916 total; recomputed on the li | OM: Rent roll cross-check OK: 15 unit rents sum to $47,128/mo vs OM $47,127 (rounding); x12 = $565,536 vs OM $565,525 annual (0.002%).; Expense line items sum to $188,808, not the OM's stated total of $191,916 (short $3,108, 1.6%). NOI of $359,435 is computed off the $191,916 total; recomputed on the li</t>
  </si>
  <si>
    <t>PROPERTY</t>
  </si>
  <si>
    <t>Units</t>
  </si>
  <si>
    <t>Gross building SF</t>
  </si>
  <si>
    <t>Lot SF</t>
  </si>
  <si>
    <t>Lot acres</t>
  </si>
  <si>
    <t>Year built</t>
  </si>
  <si>
    <t>Stories</t>
  </si>
  <si>
    <t>3</t>
  </si>
  <si>
    <t>Zoning</t>
  </si>
  <si>
    <t>LAR3</t>
  </si>
  <si>
    <t>Occupancy per listing</t>
  </si>
  <si>
    <t>100%</t>
  </si>
  <si>
    <t>APN</t>
  </si>
  <si>
    <t>4323-021-022</t>
  </si>
  <si>
    <t>Assessed value (current)</t>
  </si>
  <si>
    <t>Listing broker(s)</t>
  </si>
  <si>
    <t>Jake Glaser</t>
  </si>
  <si>
    <t>Date on market</t>
  </si>
  <si>
    <t>8/25/2026</t>
  </si>
  <si>
    <t>Listing last updated</t>
  </si>
  <si>
    <t>9/16/2026</t>
  </si>
  <si>
    <t>PRICING</t>
  </si>
  <si>
    <t>Asking price</t>
  </si>
  <si>
    <t>Price per unit</t>
  </si>
  <si>
    <t>Price per gross SF</t>
  </si>
  <si>
    <t>OM / listing cap rate (as published)</t>
  </si>
  <si>
    <t>OM / listing GRM (as published)</t>
  </si>
  <si>
    <t>UNIT MIX &amp; SCHEDULED RENT</t>
  </si>
  <si>
    <t>Unit type</t>
  </si>
  <si>
    <t># Units</t>
  </si>
  <si>
    <t>Avg rent / mo</t>
  </si>
  <si>
    <t>Monthly total</t>
  </si>
  <si>
    <t>Annual</t>
  </si>
  <si>
    <t>Rent source</t>
  </si>
  <si>
    <t>1 Bd / 1 Ba  [Unit 304, Non-RSO; at market ($2,900)]</t>
  </si>
  <si>
    <t>OM rent roll, current in-place rents (OM rent roll 9/1/2026)</t>
  </si>
  <si>
    <t>2 Bd / 1 Ba  [Unit 204, RSO; market $3,100]</t>
  </si>
  <si>
    <t>2 Bd / 2 Ba  [Units 100,101,102,103,200,203,303; rents $2,131 to $3,345 (s]</t>
  </si>
  <si>
    <t>3 Bd / 2 Ba  [Units 201,202,205,301,302,305; rents $3,531 to $3,952 (sum $]</t>
  </si>
  <si>
    <t>Total / weighted avg</t>
  </si>
  <si>
    <t>INCOME</t>
  </si>
  <si>
    <t>OM as presented</t>
  </si>
  <si>
    <t>LAAA underwritten</t>
  </si>
  <si>
    <t>Basis / note</t>
  </si>
  <si>
    <t>Scheduled gross rent</t>
  </si>
  <si>
    <t>OM column: OM stated current scheduled rent (OM rent roll 9/1/2026); LAAA column: OM rent roll by unit type</t>
  </si>
  <si>
    <t>Other income (laundry, parking, RUBS)</t>
  </si>
  <si>
    <t>Gross scheduled income</t>
  </si>
  <si>
    <t>Vacancy &amp; credit loss</t>
  </si>
  <si>
    <t>OM 3.0%; LAAA per Assumptions</t>
  </si>
  <si>
    <t>Effective gross income</t>
  </si>
  <si>
    <t>OPERATING EXPENSES</t>
  </si>
  <si>
    <t>Expense line</t>
  </si>
  <si>
    <t>LAAA benchmark</t>
  </si>
  <si>
    <t>Delta vs OM</t>
  </si>
  <si>
    <t>Property taxes (reassessed at price)</t>
  </si>
  <si>
    <t>Los Angeles rate x asking price; always reassessed, never MAX</t>
  </si>
  <si>
    <t>Insurance</t>
  </si>
  <si>
    <t>LAAA benchmark (units x $200) + (SF x $1.00)</t>
  </si>
  <si>
    <t>Management</t>
  </si>
  <si>
    <t>% of LAAA EGI</t>
  </si>
  <si>
    <t>Repairs &amp; maintenance</t>
  </si>
  <si>
    <t>per unit, by vintage</t>
  </si>
  <si>
    <t>Utilities (water/sewer/trash/common electric &amp; gas)</t>
  </si>
  <si>
    <t>per unit, by city; OM utilities + water/sewer + gas/electric + trash combined</t>
  </si>
  <si>
    <t>Contract services (landscape, pest, cleaning)</t>
  </si>
  <si>
    <t>per unit</t>
  </si>
  <si>
    <t>Admin / legal / licenses / rent registration / other OM items</t>
  </si>
  <si>
    <t>OM other items: Direct Assessments (2026 actual) 2,554; Maintenance Supplies (2026 annualized) 2,935; Utilities - Telephone (2026 annualized) 767; Elevator (2026 annualized) 2,724; Cleaning &amp; Other Se</t>
  </si>
  <si>
    <t>Replacement reserves</t>
  </si>
  <si>
    <t>Total operating expenses</t>
  </si>
  <si>
    <t>OM line items from OM (OM rent roll 9/1/2026); basis: OM 'Current' column of the Pro Forma Annual Operating Expenses page. Mixed basis: taxes projected at 1.187% x sale price, management 4.0% x GOI (projected), insurance $1.18/GSF (labeled actual), R&amp;M $1,500/unit and reserves $350/unit projected; direct assessments and all utility/service lines are 2026 actual/annualized. gas_electric is gas only (no electric line). utilities key left null because the OM breaks utilities out by line.; OM total 191,916</t>
  </si>
  <si>
    <t>Expenses per unit</t>
  </si>
  <si>
    <t>Expenses as % of EGI</t>
  </si>
  <si>
    <t>OM expense test</t>
  </si>
  <si>
    <t>NOI &amp; RETURNS</t>
  </si>
  <si>
    <t>Net operating income</t>
  </si>
  <si>
    <t>OM states NOI 359,435 / cap 5.66</t>
  </si>
  <si>
    <t>Cap rate on asking price</t>
  </si>
  <si>
    <t>OM column recomputed from OM figures; compare to published cap above</t>
  </si>
  <si>
    <t>GRM (price / scheduled rent)</t>
  </si>
  <si>
    <t>NOI per unit</t>
  </si>
  <si>
    <t>FINANCING (illustrative, on LAAA NOI)</t>
  </si>
  <si>
    <t>LTV loan</t>
  </si>
  <si>
    <t>DCR-sized loan</t>
  </si>
  <si>
    <t>Loan amount (lesser of)</t>
  </si>
  <si>
    <t>Down payment</t>
  </si>
  <si>
    <t>Annual debt service</t>
  </si>
  <si>
    <t>DCR</t>
  </si>
  <si>
    <t>Cash flow after debt service</t>
  </si>
  <si>
    <t>Cash-on-cash return</t>
  </si>
  <si>
    <t>Legend: yellow = published input, orange = estimated (nothing published), grey = LAAA underwritten (MAX of OM line and benchmark; taxes always reassessed).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</si>
</sst>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;\(\$#,##0\);&quot;-&quot;"/>
    <numFmt numFmtId="165" formatCode="\$#,##0.00"/>
    <numFmt numFmtId="166" formatCode="0.00&quot;x&quot;"/>
    <numFmt numFmtId="167" formatCode="&quot;$&quot;#,##0;\(&quot;$&quot;#,##0\);&quot;-&quot;"/>
  </numFmts>
  <fonts count="12" x14ac:knownFonts="1">
    <font>
      <sz val="11"/>
      <color theme="1"/>
      <name val="Calibri"/>
      <family val="2"/>
      <scheme val="minor"/>
    </font>
    <font>
      <b/>
      <sz val="13"/>
      <color rgb="FF1B3A5C"/>
      <name val="Calibri"/>
    </font>
    <font>
      <i/>
      <sz val="9"/>
      <color rgb="FF595959"/>
      <name val="Calibri"/>
    </font>
    <font>
      <b/>
      <sz val="11"/>
      <color rgb="FF1B3A5C"/>
      <name val="Calibri"/>
    </font>
    <font>
      <b/>
      <sz val="15"/>
      <color rgb="FF1B3A5C"/>
      <name val="Calibri"/>
    </font>
    <font>
      <sz val="11"/>
      <color rgb="FF595959"/>
      <name val="Calibri"/>
    </font>
    <font>
      <u/>
      <sz val="11"/>
      <color rgb="FF0563C1"/>
      <name val="Calibri"/>
    </font>
    <font>
      <b/>
      <sz val="11"/>
      <color rgb="FFC00000"/>
      <name val="Calibri"/>
      <family val="2"/>
      <scheme val="minor"/>
    </font>
    <font>
      <b/>
      <sz val="10"/>
      <color rgb="FFFFFFFF"/>
      <name val="Calibri"/>
    </font>
    <font>
      <i/>
      <sz val="9"/>
      <color rgb="FF595959"/>
      <name val="Calibri"/>
      <family val="2"/>
    </font>
    <font>
      <b/>
      <sz val="11"/>
      <name val="Calibri"/>
    </font>
    <font>
      <b/>
      <sz val="11"/>
      <color rgb="FFC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EDF3"/>
      </patternFill>
    </fill>
    <fill>
      <patternFill patternType="solid">
        <fgColor rgb="FF1B3A5C"/>
      </patternFill>
    </fill>
    <fill>
      <patternFill patternType="solid">
        <fgColor rgb="FFFFF2CC"/>
        <bgColor indexed="64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10" fontId="0" fillId="2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2" borderId="1" xfId="0" applyFill="1" applyBorder="1"/>
    <xf numFmtId="0" fontId="3" fillId="0" borderId="0" xfId="0" applyFont="1"/>
    <xf numFmtId="164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0" xfId="0" applyFont="1" applyFill="1"/>
    <xf numFmtId="0" fontId="0" fillId="3" borderId="0" xfId="0" applyFill="1"/>
    <xf numFmtId="3" fontId="0" fillId="0" borderId="0" xfId="0" applyNumberFormat="1"/>
    <xf numFmtId="2" fontId="0" fillId="0" borderId="0" xfId="0" applyNumberFormat="1"/>
    <xf numFmtId="165" fontId="0" fillId="0" borderId="0" xfId="0" applyNumberFormat="1"/>
    <xf numFmtId="10" fontId="0" fillId="0" borderId="0" xfId="0" applyNumberFormat="1"/>
    <xf numFmtId="166" fontId="0" fillId="0" borderId="0" xfId="0" applyNumberFormat="1"/>
    <xf numFmtId="0" fontId="8" fillId="4" borderId="0" xfId="0" applyFont="1" applyFill="1" applyAlignment="1">
      <alignment horizontal="center"/>
    </xf>
    <xf numFmtId="167" fontId="0" fillId="5" borderId="1" xfId="0" applyNumberFormat="1" applyFill="1" applyBorder="1"/>
    <xf numFmtId="167" fontId="0" fillId="0" borderId="0" xfId="0" applyNumberFormat="1"/>
    <xf numFmtId="0" fontId="9" fillId="0" borderId="0" xfId="0" applyFont="1"/>
    <xf numFmtId="0" fontId="10" fillId="0" borderId="0" xfId="0" applyFont="1"/>
    <xf numFmtId="3" fontId="10" fillId="0" borderId="0" xfId="0" applyNumberFormat="1" applyFont="1"/>
    <xf numFmtId="164" fontId="10" fillId="0" borderId="0" xfId="0" applyNumberFormat="1" applyFont="1"/>
    <xf numFmtId="0" fontId="8" fillId="4" borderId="0" xfId="0" applyFont="1" applyFill="1"/>
    <xf numFmtId="164" fontId="0" fillId="6" borderId="0" xfId="0" applyNumberForma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0</xdr:row>
      <xdr:rowOff>0</xdr:rowOff>
    </xdr:from>
    <xdr:ext cx="4000500" cy="29908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8D03B9B2-6CEF-41F3-B3C2-2295EDAC5A09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01350" y="0"/>
          <a:ext cx="4000500" cy="29908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loopnet.com/Listing/1811-S-Bentley-Ave-Los-Angeles-CA/4187940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BD12-A3E1-49DB-B66B-7A09864FB10A}">
  <dimension ref="A1:C40"/>
  <sheetViews>
    <sheetView workbookViewId="0"/>
  </sheetViews>
  <sheetFormatPr defaultRowHeight="15" x14ac:dyDescent="0.25"/>
  <cols>
    <col min="1" max="1" width="62" customWidth="1"/>
    <col min="2" max="2" width="14" customWidth="1"/>
    <col min="3" max="3" width="80" customWidth="1"/>
  </cols>
  <sheetData>
    <row r="1" spans="1:3" ht="17.25" x14ac:dyDescent="0.3">
      <c r="A1" s="1" t="s">
        <v>0</v>
      </c>
      <c r="C1" s="2"/>
    </row>
    <row r="2" spans="1:3" x14ac:dyDescent="0.25">
      <c r="C2" s="2"/>
    </row>
    <row r="3" spans="1:3" x14ac:dyDescent="0.25">
      <c r="A3" t="s">
        <v>1</v>
      </c>
      <c r="B3" s="3">
        <v>0.03</v>
      </c>
      <c r="C3" s="2" t="s">
        <v>2</v>
      </c>
    </row>
    <row r="4" spans="1:3" x14ac:dyDescent="0.25">
      <c r="A4" t="s">
        <v>3</v>
      </c>
      <c r="B4" s="3">
        <v>0.05</v>
      </c>
      <c r="C4" s="2" t="s">
        <v>4</v>
      </c>
    </row>
    <row r="5" spans="1:3" x14ac:dyDescent="0.25">
      <c r="A5" t="s">
        <v>5</v>
      </c>
      <c r="B5" s="4">
        <v>200</v>
      </c>
      <c r="C5" s="2" t="s">
        <v>6</v>
      </c>
    </row>
    <row r="6" spans="1:3" x14ac:dyDescent="0.25">
      <c r="A6" t="s">
        <v>7</v>
      </c>
      <c r="B6" s="5">
        <v>1</v>
      </c>
      <c r="C6" s="2"/>
    </row>
    <row r="7" spans="1:3" x14ac:dyDescent="0.25">
      <c r="A7" t="s">
        <v>8</v>
      </c>
      <c r="B7" s="4">
        <v>1200</v>
      </c>
      <c r="C7" s="2"/>
    </row>
    <row r="8" spans="1:3" x14ac:dyDescent="0.25">
      <c r="A8" t="s">
        <v>9</v>
      </c>
      <c r="B8" s="4">
        <v>800</v>
      </c>
      <c r="C8" s="2"/>
    </row>
    <row r="9" spans="1:3" x14ac:dyDescent="0.25">
      <c r="A9" t="s">
        <v>10</v>
      </c>
      <c r="B9" s="4">
        <v>1500</v>
      </c>
      <c r="C9" s="2" t="s">
        <v>11</v>
      </c>
    </row>
    <row r="10" spans="1:3" x14ac:dyDescent="0.25">
      <c r="A10" t="s">
        <v>12</v>
      </c>
      <c r="B10" s="4">
        <v>1800</v>
      </c>
      <c r="C10" s="2" t="s">
        <v>13</v>
      </c>
    </row>
    <row r="11" spans="1:3" x14ac:dyDescent="0.25">
      <c r="A11" t="s">
        <v>14</v>
      </c>
      <c r="B11" s="4">
        <v>1600</v>
      </c>
      <c r="C11" s="2"/>
    </row>
    <row r="12" spans="1:3" x14ac:dyDescent="0.25">
      <c r="A12" t="s">
        <v>15</v>
      </c>
      <c r="B12" s="4">
        <v>400</v>
      </c>
      <c r="C12" s="2" t="s">
        <v>16</v>
      </c>
    </row>
    <row r="13" spans="1:3" x14ac:dyDescent="0.25">
      <c r="A13" t="s">
        <v>17</v>
      </c>
      <c r="B13" s="4">
        <v>250</v>
      </c>
      <c r="C13" s="2" t="s">
        <v>18</v>
      </c>
    </row>
    <row r="14" spans="1:3" x14ac:dyDescent="0.25">
      <c r="A14" t="s">
        <v>19</v>
      </c>
      <c r="B14" s="4">
        <v>300</v>
      </c>
      <c r="C14" s="2"/>
    </row>
    <row r="15" spans="1:3" x14ac:dyDescent="0.25">
      <c r="A15" t="s">
        <v>20</v>
      </c>
      <c r="B15" s="3">
        <v>1.2500000000000001E-2</v>
      </c>
      <c r="C15" s="2" t="s">
        <v>21</v>
      </c>
    </row>
    <row r="16" spans="1:3" x14ac:dyDescent="0.25">
      <c r="A16" t="s">
        <v>22</v>
      </c>
      <c r="B16" s="3">
        <v>1.15E-2</v>
      </c>
      <c r="C16" s="2"/>
    </row>
    <row r="17" spans="1:3" x14ac:dyDescent="0.25">
      <c r="A17" t="s">
        <v>23</v>
      </c>
      <c r="B17" s="3">
        <v>1.15E-2</v>
      </c>
      <c r="C17" s="2"/>
    </row>
    <row r="18" spans="1:3" x14ac:dyDescent="0.25">
      <c r="A18" t="s">
        <v>24</v>
      </c>
      <c r="B18" s="3">
        <v>1.2E-2</v>
      </c>
      <c r="C18" s="2"/>
    </row>
    <row r="19" spans="1:3" x14ac:dyDescent="0.25">
      <c r="A19" t="s">
        <v>25</v>
      </c>
      <c r="B19" s="3">
        <v>1.2E-2</v>
      </c>
      <c r="C19" s="2"/>
    </row>
    <row r="20" spans="1:3" x14ac:dyDescent="0.25">
      <c r="A20" t="s">
        <v>26</v>
      </c>
      <c r="B20" s="3">
        <v>0.6</v>
      </c>
      <c r="C20" s="2"/>
    </row>
    <row r="21" spans="1:3" x14ac:dyDescent="0.25">
      <c r="A21" t="s">
        <v>27</v>
      </c>
      <c r="B21" s="6">
        <v>1.25</v>
      </c>
      <c r="C21" s="2" t="s">
        <v>28</v>
      </c>
    </row>
    <row r="22" spans="1:3" x14ac:dyDescent="0.25">
      <c r="A22" t="s">
        <v>29</v>
      </c>
      <c r="B22" s="3">
        <v>6.25E-2</v>
      </c>
      <c r="C22" s="2"/>
    </row>
    <row r="23" spans="1:3" x14ac:dyDescent="0.25">
      <c r="A23" t="s">
        <v>30</v>
      </c>
      <c r="B23" s="6">
        <v>30</v>
      </c>
      <c r="C23" s="2"/>
    </row>
    <row r="24" spans="1:3" x14ac:dyDescent="0.25">
      <c r="A24" t="s">
        <v>31</v>
      </c>
      <c r="B24" s="3">
        <v>0.05</v>
      </c>
      <c r="C24" s="2" t="s">
        <v>32</v>
      </c>
    </row>
    <row r="25" spans="1:3" x14ac:dyDescent="0.25">
      <c r="C25" s="2"/>
    </row>
    <row r="26" spans="1:3" x14ac:dyDescent="0.25">
      <c r="A26" s="7" t="s">
        <v>33</v>
      </c>
      <c r="C26" s="2"/>
    </row>
    <row r="27" spans="1:3" x14ac:dyDescent="0.25">
      <c r="A27" t="s">
        <v>34</v>
      </c>
      <c r="B27" s="6">
        <v>0.7</v>
      </c>
      <c r="C27" s="2"/>
    </row>
    <row r="28" spans="1:3" x14ac:dyDescent="0.25">
      <c r="A28" t="s">
        <v>35</v>
      </c>
      <c r="B28" s="6">
        <v>1</v>
      </c>
      <c r="C28" s="2"/>
    </row>
    <row r="29" spans="1:3" x14ac:dyDescent="0.25">
      <c r="A29" t="s">
        <v>36</v>
      </c>
      <c r="B29" s="6">
        <v>1.35</v>
      </c>
      <c r="C29" s="2"/>
    </row>
    <row r="30" spans="1:3" x14ac:dyDescent="0.25">
      <c r="A30" t="s">
        <v>37</v>
      </c>
      <c r="B30" s="6">
        <v>1.75</v>
      </c>
      <c r="C30" s="2"/>
    </row>
    <row r="31" spans="1:3" x14ac:dyDescent="0.25">
      <c r="C31" s="2"/>
    </row>
    <row r="32" spans="1:3" x14ac:dyDescent="0.25">
      <c r="A32" s="7" t="s">
        <v>38</v>
      </c>
      <c r="B32" s="8"/>
      <c r="C32" s="2"/>
    </row>
    <row r="33" spans="1:3" x14ac:dyDescent="0.25">
      <c r="A33" t="s">
        <v>39</v>
      </c>
      <c r="B33" s="4">
        <v>1900</v>
      </c>
      <c r="C33" s="2"/>
    </row>
    <row r="34" spans="1:3" x14ac:dyDescent="0.25">
      <c r="A34" t="s">
        <v>40</v>
      </c>
      <c r="B34" s="4">
        <v>2400</v>
      </c>
      <c r="C34" s="2"/>
    </row>
    <row r="35" spans="1:3" x14ac:dyDescent="0.25">
      <c r="A35" t="s">
        <v>41</v>
      </c>
      <c r="B35" s="4">
        <v>3200</v>
      </c>
      <c r="C35" s="2"/>
    </row>
    <row r="36" spans="1:3" x14ac:dyDescent="0.25">
      <c r="A36" t="s">
        <v>42</v>
      </c>
      <c r="B36" s="4">
        <v>4200</v>
      </c>
      <c r="C36" s="2"/>
    </row>
    <row r="37" spans="1:3" x14ac:dyDescent="0.25">
      <c r="A37" t="s">
        <v>43</v>
      </c>
      <c r="B37" s="4">
        <v>1750</v>
      </c>
      <c r="C37" s="2"/>
    </row>
    <row r="38" spans="1:3" x14ac:dyDescent="0.25">
      <c r="A38" t="s">
        <v>44</v>
      </c>
      <c r="B38" s="4">
        <v>2200</v>
      </c>
      <c r="C38" s="2"/>
    </row>
    <row r="39" spans="1:3" x14ac:dyDescent="0.25">
      <c r="A39" t="s">
        <v>45</v>
      </c>
      <c r="B39" s="4">
        <v>2900</v>
      </c>
      <c r="C39" s="2"/>
    </row>
    <row r="40" spans="1:3" x14ac:dyDescent="0.25">
      <c r="A40" t="s">
        <v>46</v>
      </c>
      <c r="B40" s="4">
        <v>3800</v>
      </c>
      <c r="C40" s="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02FB-B627-4F17-99CE-137E7BBE5DFB}">
  <sheetPr>
    <pageSetUpPr fitToPage="1"/>
  </sheetPr>
  <dimension ref="A1:F76"/>
  <sheetViews>
    <sheetView showGridLines="0"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38" customWidth="1"/>
    <col min="2" max="5" width="16" customWidth="1"/>
    <col min="6" max="6" width="48" customWidth="1"/>
    <col min="7" max="7" width="12" customWidth="1"/>
  </cols>
  <sheetData>
    <row r="1" spans="1:3" ht="19.5" x14ac:dyDescent="0.3">
      <c r="A1" s="9" t="s">
        <v>47</v>
      </c>
    </row>
    <row r="2" spans="1:3" x14ac:dyDescent="0.25">
      <c r="A2" s="10" t="s">
        <v>48</v>
      </c>
    </row>
    <row r="3" spans="1:3" x14ac:dyDescent="0.25">
      <c r="A3" s="11" t="s">
        <v>49</v>
      </c>
      <c r="B3" s="2" t="s">
        <v>50</v>
      </c>
    </row>
    <row r="4" spans="1:3" x14ac:dyDescent="0.25">
      <c r="A4" s="12" t="s">
        <v>51</v>
      </c>
    </row>
    <row r="6" spans="1:3" x14ac:dyDescent="0.25">
      <c r="A6" s="13" t="s">
        <v>52</v>
      </c>
      <c r="B6" s="14"/>
      <c r="C6" s="14"/>
    </row>
    <row r="7" spans="1:3" x14ac:dyDescent="0.25">
      <c r="A7" t="s">
        <v>53</v>
      </c>
      <c r="B7" s="15">
        <v>15</v>
      </c>
    </row>
    <row r="8" spans="1:3" x14ac:dyDescent="0.25">
      <c r="A8" t="s">
        <v>54</v>
      </c>
      <c r="B8" s="15">
        <v>16568</v>
      </c>
    </row>
    <row r="9" spans="1:3" x14ac:dyDescent="0.25">
      <c r="A9" t="s">
        <v>55</v>
      </c>
      <c r="B9" s="15">
        <v>11761</v>
      </c>
    </row>
    <row r="10" spans="1:3" x14ac:dyDescent="0.25">
      <c r="A10" t="s">
        <v>56</v>
      </c>
      <c r="B10" s="16">
        <v>0.27</v>
      </c>
    </row>
    <row r="11" spans="1:3" x14ac:dyDescent="0.25">
      <c r="A11" t="s">
        <v>57</v>
      </c>
    </row>
    <row r="12" spans="1:3" x14ac:dyDescent="0.25">
      <c r="A12" t="s">
        <v>58</v>
      </c>
      <c r="B12" t="s">
        <v>59</v>
      </c>
    </row>
    <row r="13" spans="1:3" x14ac:dyDescent="0.25">
      <c r="A13" t="s">
        <v>60</v>
      </c>
      <c r="B13" t="s">
        <v>61</v>
      </c>
    </row>
    <row r="14" spans="1:3" x14ac:dyDescent="0.25">
      <c r="A14" t="s">
        <v>62</v>
      </c>
      <c r="B14" t="s">
        <v>63</v>
      </c>
    </row>
    <row r="15" spans="1:3" x14ac:dyDescent="0.25">
      <c r="A15" t="s">
        <v>64</v>
      </c>
      <c r="B15" t="s">
        <v>65</v>
      </c>
    </row>
    <row r="16" spans="1:3" x14ac:dyDescent="0.25">
      <c r="A16" t="s">
        <v>66</v>
      </c>
      <c r="B16" s="8">
        <v>5866611</v>
      </c>
    </row>
    <row r="17" spans="1:6" x14ac:dyDescent="0.25">
      <c r="A17" t="s">
        <v>67</v>
      </c>
      <c r="B17" t="s">
        <v>68</v>
      </c>
    </row>
    <row r="18" spans="1:6" x14ac:dyDescent="0.25">
      <c r="A18" t="s">
        <v>69</v>
      </c>
      <c r="B18" t="s">
        <v>70</v>
      </c>
    </row>
    <row r="19" spans="1:6" x14ac:dyDescent="0.25">
      <c r="A19" t="s">
        <v>71</v>
      </c>
      <c r="B19" t="s">
        <v>72</v>
      </c>
    </row>
    <row r="21" spans="1:6" x14ac:dyDescent="0.25">
      <c r="A21" s="13" t="s">
        <v>73</v>
      </c>
      <c r="B21" s="14"/>
      <c r="C21" s="14"/>
    </row>
    <row r="22" spans="1:6" x14ac:dyDescent="0.25">
      <c r="A22" t="s">
        <v>74</v>
      </c>
      <c r="B22" s="4">
        <v>6350000</v>
      </c>
    </row>
    <row r="23" spans="1:6" x14ac:dyDescent="0.25">
      <c r="A23" t="s">
        <v>75</v>
      </c>
      <c r="B23" s="8">
        <f>IFERROR(B22/B7,"")</f>
        <v>423333.33333333331</v>
      </c>
    </row>
    <row r="24" spans="1:6" x14ac:dyDescent="0.25">
      <c r="A24" t="s">
        <v>76</v>
      </c>
      <c r="B24" s="17">
        <f>IFERROR(B22/B8,"")</f>
        <v>383.26895219700629</v>
      </c>
    </row>
    <row r="25" spans="1:6" x14ac:dyDescent="0.25">
      <c r="A25" t="s">
        <v>77</v>
      </c>
      <c r="B25" s="18">
        <v>5.6599999999999998E-2</v>
      </c>
    </row>
    <row r="26" spans="1:6" x14ac:dyDescent="0.25">
      <c r="A26" t="s">
        <v>78</v>
      </c>
      <c r="B26" s="19">
        <v>11.23</v>
      </c>
    </row>
    <row r="28" spans="1:6" x14ac:dyDescent="0.25">
      <c r="A28" s="13" t="s">
        <v>79</v>
      </c>
      <c r="B28" s="14"/>
      <c r="C28" s="14"/>
      <c r="D28" s="14"/>
      <c r="E28" s="14"/>
      <c r="F28" s="14"/>
    </row>
    <row r="29" spans="1:6" x14ac:dyDescent="0.25">
      <c r="A29" s="20" t="s">
        <v>80</v>
      </c>
      <c r="B29" s="20" t="s">
        <v>81</v>
      </c>
      <c r="C29" s="20" t="s">
        <v>82</v>
      </c>
      <c r="D29" s="20" t="s">
        <v>83</v>
      </c>
      <c r="E29" s="20" t="s">
        <v>84</v>
      </c>
      <c r="F29" s="20" t="s">
        <v>85</v>
      </c>
    </row>
    <row r="30" spans="1:6" x14ac:dyDescent="0.25">
      <c r="A30" t="s">
        <v>86</v>
      </c>
      <c r="B30" s="15">
        <v>1</v>
      </c>
      <c r="C30" s="21">
        <v>2900</v>
      </c>
      <c r="D30" s="22">
        <f>B30*C30</f>
        <v>2900</v>
      </c>
      <c r="E30" s="22">
        <f>D30*12</f>
        <v>34800</v>
      </c>
      <c r="F30" s="23" t="s">
        <v>87</v>
      </c>
    </row>
    <row r="31" spans="1:6" x14ac:dyDescent="0.25">
      <c r="A31" t="s">
        <v>88</v>
      </c>
      <c r="B31" s="15">
        <v>1</v>
      </c>
      <c r="C31" s="21">
        <v>2648</v>
      </c>
      <c r="D31" s="22">
        <f>B31*C31</f>
        <v>2648</v>
      </c>
      <c r="E31" s="22">
        <f>D31*12</f>
        <v>31776</v>
      </c>
      <c r="F31" s="23" t="s">
        <v>87</v>
      </c>
    </row>
    <row r="32" spans="1:6" x14ac:dyDescent="0.25">
      <c r="A32" t="s">
        <v>89</v>
      </c>
      <c r="B32" s="15">
        <v>7</v>
      </c>
      <c r="C32" s="21">
        <v>2699</v>
      </c>
      <c r="D32" s="22">
        <f>B32*C32</f>
        <v>18893</v>
      </c>
      <c r="E32" s="22">
        <f>D32*12</f>
        <v>226716</v>
      </c>
      <c r="F32" s="23" t="s">
        <v>87</v>
      </c>
    </row>
    <row r="33" spans="1:6" x14ac:dyDescent="0.25">
      <c r="A33" t="s">
        <v>90</v>
      </c>
      <c r="B33" s="15">
        <v>6</v>
      </c>
      <c r="C33" s="21">
        <v>3780</v>
      </c>
      <c r="D33" s="22">
        <f>B33*C33</f>
        <v>22680</v>
      </c>
      <c r="E33" s="22">
        <f>D33*12</f>
        <v>272160</v>
      </c>
      <c r="F33" s="23" t="s">
        <v>87</v>
      </c>
    </row>
    <row r="34" spans="1:6" x14ac:dyDescent="0.25">
      <c r="A34" s="24" t="s">
        <v>91</v>
      </c>
      <c r="B34" s="25">
        <f>SUM(B30:B33)</f>
        <v>15</v>
      </c>
      <c r="C34" s="26">
        <f>IFERROR(D34/B34,"")</f>
        <v>3141.4</v>
      </c>
      <c r="D34" s="26">
        <f>SUM(D30:D33)</f>
        <v>47121</v>
      </c>
      <c r="E34" s="26">
        <f>SUM(E30:E33)</f>
        <v>565452</v>
      </c>
    </row>
    <row r="36" spans="1:6" x14ac:dyDescent="0.25">
      <c r="A36" s="13" t="s">
        <v>92</v>
      </c>
      <c r="B36" s="14"/>
      <c r="C36" s="14"/>
      <c r="D36" s="14"/>
      <c r="E36" s="14"/>
      <c r="F36" s="14"/>
    </row>
    <row r="37" spans="1:6" x14ac:dyDescent="0.25">
      <c r="A37" s="27"/>
      <c r="B37" s="27" t="s">
        <v>93</v>
      </c>
      <c r="C37" s="27" t="s">
        <v>94</v>
      </c>
      <c r="D37" s="27"/>
      <c r="E37" s="27"/>
      <c r="F37" s="27" t="s">
        <v>95</v>
      </c>
    </row>
    <row r="38" spans="1:6" x14ac:dyDescent="0.25">
      <c r="A38" t="s">
        <v>96</v>
      </c>
      <c r="B38" s="22">
        <v>565525</v>
      </c>
      <c r="C38" s="8">
        <f>E34</f>
        <v>565452</v>
      </c>
      <c r="F38" s="2" t="s">
        <v>97</v>
      </c>
    </row>
    <row r="39" spans="1:6" x14ac:dyDescent="0.25">
      <c r="A39" t="s">
        <v>98</v>
      </c>
      <c r="B39" s="8">
        <v>2791</v>
      </c>
      <c r="C39" s="4">
        <v>2791</v>
      </c>
    </row>
    <row r="40" spans="1:6" x14ac:dyDescent="0.25">
      <c r="A40" s="24" t="s">
        <v>99</v>
      </c>
      <c r="B40" s="8">
        <f>B38+B39</f>
        <v>568316</v>
      </c>
      <c r="C40" s="8">
        <f>C38+C39</f>
        <v>568243</v>
      </c>
    </row>
    <row r="41" spans="1:6" x14ac:dyDescent="0.25">
      <c r="A41" t="s">
        <v>100</v>
      </c>
      <c r="B41" s="8">
        <f>-B38*0.03</f>
        <v>-16965.75</v>
      </c>
      <c r="C41" s="8">
        <f>-C38*Assumptions!$B$3</f>
        <v>-16963.559999999998</v>
      </c>
      <c r="F41" s="2" t="s">
        <v>101</v>
      </c>
    </row>
    <row r="42" spans="1:6" x14ac:dyDescent="0.25">
      <c r="A42" s="24" t="s">
        <v>102</v>
      </c>
      <c r="B42" s="26">
        <f>B40+B41</f>
        <v>551350.25</v>
      </c>
      <c r="C42" s="26">
        <f>C40+C41</f>
        <v>551279.43999999994</v>
      </c>
    </row>
    <row r="44" spans="1:6" x14ac:dyDescent="0.25">
      <c r="A44" s="13" t="s">
        <v>103</v>
      </c>
      <c r="B44" s="14"/>
      <c r="C44" s="14"/>
      <c r="D44" s="14"/>
      <c r="E44" s="14"/>
      <c r="F44" s="14"/>
    </row>
    <row r="45" spans="1:6" x14ac:dyDescent="0.25">
      <c r="A45" s="27" t="s">
        <v>104</v>
      </c>
      <c r="B45" s="27" t="s">
        <v>93</v>
      </c>
      <c r="C45" s="27" t="s">
        <v>105</v>
      </c>
      <c r="D45" s="27" t="s">
        <v>94</v>
      </c>
      <c r="E45" s="27" t="s">
        <v>106</v>
      </c>
      <c r="F45" s="27" t="s">
        <v>95</v>
      </c>
    </row>
    <row r="46" spans="1:6" x14ac:dyDescent="0.25">
      <c r="A46" t="s">
        <v>107</v>
      </c>
      <c r="B46" s="22">
        <v>75399</v>
      </c>
      <c r="C46" s="8">
        <f>B22*Assumptions!$B$15</f>
        <v>79375</v>
      </c>
      <c r="D46" s="28">
        <f>C46</f>
        <v>79375</v>
      </c>
      <c r="E46" s="8">
        <f t="shared" ref="E46:E54" si="0">IF(ISNUMBER(B46),D46-B46,"")</f>
        <v>3976</v>
      </c>
      <c r="F46" s="2" t="s">
        <v>108</v>
      </c>
    </row>
    <row r="47" spans="1:6" x14ac:dyDescent="0.25">
      <c r="A47" t="s">
        <v>109</v>
      </c>
      <c r="B47" s="22">
        <v>19527</v>
      </c>
      <c r="C47" s="8">
        <f>B7*Assumptions!$B$5+B8*Assumptions!$B$6</f>
        <v>19568</v>
      </c>
      <c r="D47" s="28">
        <f t="shared" ref="D47:D53" si="1">IF(ISNUMBER(B47),MAX(B47,C47),C47)</f>
        <v>19568</v>
      </c>
      <c r="E47" s="8">
        <f t="shared" si="0"/>
        <v>41</v>
      </c>
      <c r="F47" s="2" t="s">
        <v>110</v>
      </c>
    </row>
    <row r="48" spans="1:6" x14ac:dyDescent="0.25">
      <c r="A48" t="s">
        <v>111</v>
      </c>
      <c r="B48" s="22">
        <v>22054</v>
      </c>
      <c r="C48" s="8">
        <f>C42*Assumptions!$B$4</f>
        <v>27563.971999999998</v>
      </c>
      <c r="D48" s="28">
        <f t="shared" si="1"/>
        <v>27563.971999999998</v>
      </c>
      <c r="E48" s="8">
        <f t="shared" si="0"/>
        <v>5509.9719999999979</v>
      </c>
      <c r="F48" s="2" t="s">
        <v>112</v>
      </c>
    </row>
    <row r="49" spans="1:6" x14ac:dyDescent="0.25">
      <c r="A49" t="s">
        <v>113</v>
      </c>
      <c r="B49" s="22">
        <v>22500</v>
      </c>
      <c r="C49" s="8">
        <f>B7*Assumptions!$B$7</f>
        <v>18000</v>
      </c>
      <c r="D49" s="28">
        <f t="shared" si="1"/>
        <v>22500</v>
      </c>
      <c r="E49" s="8">
        <f t="shared" si="0"/>
        <v>0</v>
      </c>
      <c r="F49" s="2" t="s">
        <v>114</v>
      </c>
    </row>
    <row r="50" spans="1:6" x14ac:dyDescent="0.25">
      <c r="A50" t="s">
        <v>115</v>
      </c>
      <c r="B50" s="22">
        <v>28692</v>
      </c>
      <c r="C50" s="8">
        <f>B7*Assumptions!$B$9</f>
        <v>22500</v>
      </c>
      <c r="D50" s="28">
        <f t="shared" si="1"/>
        <v>28692</v>
      </c>
      <c r="E50" s="8">
        <f t="shared" si="0"/>
        <v>0</v>
      </c>
      <c r="F50" s="2" t="s">
        <v>116</v>
      </c>
    </row>
    <row r="51" spans="1:6" x14ac:dyDescent="0.25">
      <c r="A51" t="s">
        <v>117</v>
      </c>
      <c r="B51" s="22">
        <v>5646</v>
      </c>
      <c r="C51" s="8">
        <f>B7*Assumptions!$B$12</f>
        <v>6000</v>
      </c>
      <c r="D51" s="28">
        <f t="shared" si="1"/>
        <v>6000</v>
      </c>
      <c r="E51" s="8">
        <f t="shared" si="0"/>
        <v>354</v>
      </c>
      <c r="F51" s="2" t="s">
        <v>118</v>
      </c>
    </row>
    <row r="52" spans="1:6" x14ac:dyDescent="0.25">
      <c r="A52" t="s">
        <v>119</v>
      </c>
      <c r="B52" s="22">
        <v>12848</v>
      </c>
      <c r="C52" s="8">
        <f>B7*Assumptions!$B$13</f>
        <v>3750</v>
      </c>
      <c r="D52" s="28">
        <f t="shared" si="1"/>
        <v>12848</v>
      </c>
      <c r="E52" s="8">
        <f t="shared" si="0"/>
        <v>0</v>
      </c>
      <c r="F52" s="2" t="s">
        <v>120</v>
      </c>
    </row>
    <row r="53" spans="1:6" x14ac:dyDescent="0.25">
      <c r="A53" t="s">
        <v>121</v>
      </c>
      <c r="B53" s="22">
        <v>5250</v>
      </c>
      <c r="C53" s="8">
        <f>B7*Assumptions!$B$14</f>
        <v>4500</v>
      </c>
      <c r="D53" s="28">
        <f t="shared" si="1"/>
        <v>5250</v>
      </c>
      <c r="E53" s="8">
        <f t="shared" si="0"/>
        <v>0</v>
      </c>
      <c r="F53" s="2" t="s">
        <v>118</v>
      </c>
    </row>
    <row r="54" spans="1:6" x14ac:dyDescent="0.25">
      <c r="A54" s="24" t="s">
        <v>122</v>
      </c>
      <c r="B54" s="26">
        <f>SUM(B46:B53)</f>
        <v>191916</v>
      </c>
      <c r="C54" s="26">
        <f>SUM(C46:C53)</f>
        <v>181256.97200000001</v>
      </c>
      <c r="D54" s="26">
        <f>SUM(D46:D53)</f>
        <v>201796.97200000001</v>
      </c>
      <c r="E54" s="26">
        <f t="shared" si="0"/>
        <v>9880.9720000000088</v>
      </c>
      <c r="F54" s="2" t="s">
        <v>123</v>
      </c>
    </row>
    <row r="55" spans="1:6" x14ac:dyDescent="0.25">
      <c r="A55" t="s">
        <v>124</v>
      </c>
      <c r="B55" s="8">
        <f>IFERROR(B54/B7,"")</f>
        <v>12794.4</v>
      </c>
      <c r="C55" s="8">
        <f>IFERROR(C54/B7,"")</f>
        <v>12083.798133333334</v>
      </c>
      <c r="D55" s="8">
        <f>IFERROR(D54/B7,"")</f>
        <v>13453.131466666668</v>
      </c>
    </row>
    <row r="56" spans="1:6" x14ac:dyDescent="0.25">
      <c r="A56" t="s">
        <v>125</v>
      </c>
      <c r="B56" s="18">
        <f>IFERROR(B54/B42,"")</f>
        <v>0.34808363649059743</v>
      </c>
      <c r="C56" s="18">
        <f>IFERROR(C54/C42,"")</f>
        <v>0.32879327406079217</v>
      </c>
      <c r="D56" s="18">
        <f>IF(C38&gt;0,IFERROR(D54/C42,""),"")</f>
        <v>0.36605205519726985</v>
      </c>
    </row>
    <row r="57" spans="1:6" x14ac:dyDescent="0.25">
      <c r="A57" s="24" t="s">
        <v>126</v>
      </c>
      <c r="B57" s="29" t="str">
        <f>IF(ISNUMBER(B54),IF(D54&gt;B54*(1+Assumptions!$B$24),"OM EXPENSES LIGHT","OM expenses reasonable"),"OM expenses not published")</f>
        <v>OM EXPENSES LIGHT</v>
      </c>
    </row>
    <row r="59" spans="1:6" x14ac:dyDescent="0.25">
      <c r="A59" s="13" t="s">
        <v>127</v>
      </c>
      <c r="B59" s="14"/>
      <c r="C59" s="14"/>
      <c r="D59" s="14"/>
      <c r="E59" s="14"/>
      <c r="F59" s="14"/>
    </row>
    <row r="60" spans="1:6" x14ac:dyDescent="0.25">
      <c r="A60" s="27"/>
      <c r="B60" s="27" t="s">
        <v>93</v>
      </c>
      <c r="C60" s="27" t="s">
        <v>94</v>
      </c>
      <c r="D60" s="27"/>
      <c r="E60" s="27"/>
      <c r="F60" s="27" t="s">
        <v>95</v>
      </c>
    </row>
    <row r="61" spans="1:6" x14ac:dyDescent="0.25">
      <c r="A61" s="24" t="s">
        <v>128</v>
      </c>
      <c r="B61" s="26">
        <f>B42-B54</f>
        <v>359434.25</v>
      </c>
      <c r="C61" s="26">
        <f>IF(C38&gt;0,C42-D54,"")</f>
        <v>349482.46799999994</v>
      </c>
      <c r="F61" t="s">
        <v>129</v>
      </c>
    </row>
    <row r="62" spans="1:6" x14ac:dyDescent="0.25">
      <c r="A62" s="24" t="s">
        <v>130</v>
      </c>
      <c r="B62" s="18">
        <f>IFERROR(B61/B22,"")</f>
        <v>5.6603818897637798E-2</v>
      </c>
      <c r="C62" s="18">
        <f>IF(C61="","",IFERROR(C61/B22,""))</f>
        <v>5.5036609133858258E-2</v>
      </c>
      <c r="F62" s="2" t="s">
        <v>131</v>
      </c>
    </row>
    <row r="63" spans="1:6" x14ac:dyDescent="0.25">
      <c r="A63" t="s">
        <v>132</v>
      </c>
      <c r="B63" s="19">
        <f>IFERROR(B22/B38,"")</f>
        <v>11.228504486981123</v>
      </c>
      <c r="C63" s="19">
        <f>IF(C38&gt;0,IFERROR(B22/C38,""),"")</f>
        <v>11.229954089825485</v>
      </c>
    </row>
    <row r="64" spans="1:6" x14ac:dyDescent="0.25">
      <c r="A64" t="s">
        <v>133</v>
      </c>
      <c r="B64" s="8">
        <f>IFERROR(B61/B7,"")</f>
        <v>23962.283333333333</v>
      </c>
      <c r="C64" s="8">
        <f>IF(C61="","",IFERROR(C61/B7,""))</f>
        <v>23298.831199999997</v>
      </c>
    </row>
    <row r="66" spans="1:6" x14ac:dyDescent="0.25">
      <c r="A66" s="13" t="s">
        <v>134</v>
      </c>
      <c r="B66" s="14"/>
      <c r="C66" s="14"/>
      <c r="D66" s="14"/>
      <c r="E66" s="14"/>
      <c r="F66" s="14"/>
    </row>
    <row r="67" spans="1:6" x14ac:dyDescent="0.25">
      <c r="A67" t="s">
        <v>135</v>
      </c>
      <c r="B67" s="8">
        <f>IFERROR(B22*Assumptions!$B$20,"")</f>
        <v>3810000</v>
      </c>
    </row>
    <row r="68" spans="1:6" x14ac:dyDescent="0.25">
      <c r="A68" t="s">
        <v>136</v>
      </c>
      <c r="B68" s="8">
        <f>IF(C61="","",IFERROR(PV(Assumptions!$B$22/12,Assumptions!$B$23*12,-C61/Assumptions!$B$21/12),""))</f>
        <v>3784014.9964732514</v>
      </c>
    </row>
    <row r="69" spans="1:6" x14ac:dyDescent="0.25">
      <c r="A69" s="24" t="s">
        <v>137</v>
      </c>
      <c r="B69" s="8">
        <f>IFERROR(MIN(B67,B68),"")</f>
        <v>3784014.9964732514</v>
      </c>
    </row>
    <row r="70" spans="1:6" x14ac:dyDescent="0.25">
      <c r="A70" t="s">
        <v>138</v>
      </c>
      <c r="B70" s="8">
        <f>IFERROR(B22-B69,"")</f>
        <v>2565985.0035267486</v>
      </c>
    </row>
    <row r="71" spans="1:6" x14ac:dyDescent="0.25">
      <c r="A71" t="s">
        <v>139</v>
      </c>
      <c r="B71" s="8">
        <f>IFERROR(-PMT(Assumptions!$B$22/12,Assumptions!$B$23*12,B69)*12,"")</f>
        <v>279585.97439999902</v>
      </c>
    </row>
    <row r="72" spans="1:6" x14ac:dyDescent="0.25">
      <c r="A72" t="s">
        <v>140</v>
      </c>
      <c r="B72" s="19">
        <f>IFERROR(C61/B71,"")</f>
        <v>1.2500000000000042</v>
      </c>
    </row>
    <row r="73" spans="1:6" x14ac:dyDescent="0.25">
      <c r="A73" t="s">
        <v>141</v>
      </c>
      <c r="B73" s="8">
        <f>IFERROR(C61-B71,"")</f>
        <v>69896.493600000918</v>
      </c>
    </row>
    <row r="74" spans="1:6" x14ac:dyDescent="0.25">
      <c r="A74" t="s">
        <v>142</v>
      </c>
      <c r="B74" s="18">
        <f>IFERROR(B73/B70,"")</f>
        <v>2.7239634488874086E-2</v>
      </c>
    </row>
    <row r="76" spans="1:6" x14ac:dyDescent="0.25">
      <c r="A76" s="2" t="s">
        <v>143</v>
      </c>
    </row>
  </sheetData>
  <hyperlinks>
    <hyperlink ref="A3" r:id="rId1" xr:uid="{422C53F8-976D-4B90-A925-C4CCD4F353CF}"/>
  </hyperlinks>
  <pageMargins left="0.75" right="0.75" top="1" bottom="1" header="0.5" footer="0.5"/>
  <pageSetup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08 1811 S Bentley 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Niculete, Filip</dc:creator>
  <cp:lastModifiedBy>Niculete, Filip</cp:lastModifiedBy>
  <dcterms:created xsi:type="dcterms:W3CDTF">2026-09-17T20:31:26Z</dcterms:created>
  <dcterms:modified xsi:type="dcterms:W3CDTF">2026-09-17T20:31:27Z</dcterms:modified>
</cp:coreProperties>
</file>