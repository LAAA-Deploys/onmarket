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691ECDF-7756-4197-A014-F66C9B14961E}" xr6:coauthVersionLast="47" xr6:coauthVersionMax="47" xr10:uidLastSave="{00000000-0000-0000-0000-000000000000}"/>
  <bookViews>
    <workbookView xWindow="-120" yWindow="-120" windowWidth="29040" windowHeight="15720" activeTab="1" xr2:uid="{42F1E642-2337-480A-A093-92B3B78A2CE0}"/>
  </bookViews>
  <sheets>
    <sheet name="Assumptions" sheetId="1" r:id="rId1"/>
    <sheet name="08 1811 S Bentley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5" i="2"/>
  <c r="B54" i="2"/>
  <c r="C53" i="2"/>
  <c r="D53" i="2" s="1"/>
  <c r="E53" i="2" s="1"/>
  <c r="C52" i="2"/>
  <c r="D52" i="2" s="1"/>
  <c r="E52" i="2" s="1"/>
  <c r="C51" i="2"/>
  <c r="D51" i="2" s="1"/>
  <c r="E51" i="2" s="1"/>
  <c r="C50" i="2"/>
  <c r="D50" i="2" s="1"/>
  <c r="E50" i="2" s="1"/>
  <c r="C49" i="2"/>
  <c r="D49" i="2" s="1"/>
  <c r="E49" i="2" s="1"/>
  <c r="C47" i="2"/>
  <c r="D47" i="2" s="1"/>
  <c r="E47" i="2" s="1"/>
  <c r="C46" i="2"/>
  <c r="B41" i="2"/>
  <c r="B40" i="2"/>
  <c r="B42" i="2" s="1"/>
  <c r="B61" i="2" s="1"/>
  <c r="D34" i="2"/>
  <c r="C34" i="2" s="1"/>
  <c r="B34" i="2"/>
  <c r="E33" i="2"/>
  <c r="D33" i="2"/>
  <c r="D32" i="2"/>
  <c r="E32" i="2" s="1"/>
  <c r="D31" i="2"/>
  <c r="E31" i="2" s="1"/>
  <c r="D30" i="2"/>
  <c r="E30" i="2" s="1"/>
  <c r="E34" i="2" s="1"/>
  <c r="C38" i="2" s="1"/>
  <c r="B24" i="2"/>
  <c r="B23" i="2"/>
  <c r="C41" i="2" l="1"/>
  <c r="C63" i="2"/>
  <c r="C40" i="2"/>
  <c r="C42" i="2" s="1"/>
  <c r="C48" i="2" s="1"/>
  <c r="D48" i="2" s="1"/>
  <c r="E48" i="2" s="1"/>
  <c r="B62" i="2"/>
  <c r="B64" i="2"/>
  <c r="B56" i="2"/>
  <c r="D46" i="2"/>
  <c r="D54" i="2" l="1"/>
  <c r="E46" i="2"/>
  <c r="C61" i="2"/>
  <c r="C54" i="2"/>
  <c r="C56" i="2" l="1"/>
  <c r="C55" i="2"/>
  <c r="C62" i="2"/>
  <c r="B68" i="2"/>
  <c r="B69" i="2" s="1"/>
  <c r="C64" i="2"/>
  <c r="E54" i="2"/>
  <c r="D55" i="2"/>
  <c r="D56" i="2"/>
  <c r="B57" i="2"/>
  <c r="B71" i="2" l="1"/>
  <c r="B70" i="2"/>
  <c r="B72" i="2" l="1"/>
  <c r="B73" i="2"/>
  <c r="B74" i="2" s="1"/>
</calcChain>
</file>

<file path=xl/sharedStrings.xml><?xml version="1.0" encoding="utf-8"?>
<sst xmlns="http://schemas.openxmlformats.org/spreadsheetml/2006/main" count="155" uniqueCount="145">
  <si>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</si>
  <si>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</si>
  <si>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</si>
  <si>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</si>
  <si>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</si>
  <si>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</si>
  <si>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</si>
  <si>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</si>
  <si>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</si>
  <si>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</si>
  <si>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</si>
  <si>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</si>
  <si>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</si>
  <si>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</si>
  <si>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</si>
  <si>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</si>
  <si>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</si>
  <si>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</si>
  <si>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</si>
  <si>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</si>
  <si>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</si>
  <si>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</si>
  <si>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</si>
  <si>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</si>
  <si>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</si>
  <si>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</si>
  <si>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</si>
  <si>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</si>
  <si>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</si>
  <si>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</si>
  <si>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</si>
  <si>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</si>
  <si>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</si>
  <si>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</si>
  <si>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</si>
  <si>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</si>
  <si>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</si>
  <si>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</si>
  <si>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</si>
  <si>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</si>
  <si>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</si>
  <si>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</si>
  <si>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</si>
  <si>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</si>
  <si>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</si>
  <si>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</si>
  <si>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</si>
  <si>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1811 S Bentley Ave (Brazilia Apts)</t>
  </si>
  <si>
    <t>Los Angeles, CA 90025  |  West LA / Sawtelle</t>
  </si>
  <si>
    <t>LoopNet listing</t>
  </si>
  <si>
    <t>Data pulled 9/17/2026 from LoopNet public listing + rent roll and expenses read from the listing broker's OM (Lyon Stahl / Serhant / Taksa, rent roll 9/1/2026)</t>
  </si>
  <si>
    <t>NOTE: | OM: Rent roll cross-check OK: 15 unit rents sum to $47,128/mo vs OM $47,127 (rounding); x12 = $565,536 vs OM $565,525 annual (0.002%).; Expense line items sum to $188,808, not the OM's stated total of $191,916 (short $3,108, 1.6%). NOI of $359,435 is computed off the $191,916 total; recomputed on the li</t>
  </si>
  <si>
    <t>PROPERTY</t>
  </si>
  <si>
    <t>Units</t>
  </si>
  <si>
    <t>Gross building SF</t>
  </si>
  <si>
    <t>Lot SF</t>
  </si>
  <si>
    <t>Lot acres</t>
  </si>
  <si>
    <t>Year built</t>
  </si>
  <si>
    <t>per Filip 9/17/2026 (LoopNet did not publish)</t>
  </si>
  <si>
    <t>Stories</t>
  </si>
  <si>
    <t>3</t>
  </si>
  <si>
    <t>Zoning</t>
  </si>
  <si>
    <t>LAR3</t>
  </si>
  <si>
    <t>Occupancy per listing</t>
  </si>
  <si>
    <t>100%</t>
  </si>
  <si>
    <t>APN</t>
  </si>
  <si>
    <t>4323-021-022</t>
  </si>
  <si>
    <t>Assessed value (current)</t>
  </si>
  <si>
    <t>Listing broker(s)</t>
  </si>
  <si>
    <t>Jake Glaser</t>
  </si>
  <si>
    <t>Date on market</t>
  </si>
  <si>
    <t>8/25/2026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</si>
  <si>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</si>
  <si>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</si>
  <si>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</si>
  <si>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</si>
  <si>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</si>
  <si>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</si>
  <si>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</si>
  <si>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</si>
  <si>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</si>
  <si>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</si>
  <si>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</si>
  <si>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</si>
  <si>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</si>
  <si>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</si>
  <si>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</si>
  <si>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[Unit 304, Non-RSO; at market ($2,900)]</t>
  </si>
  <si>
    <t>OM rent roll, current in-place rents (OM rent roll 9/1/2026)</t>
  </si>
  <si>
    <t>2 Bd / 1 Ba  [Unit 204, RSO; market $3,100]</t>
  </si>
  <si>
    <t>2 Bd / 2 Ba  [Units 100,101,102,103,200,203,303; rents $2,131 to $3,345 (s]</t>
  </si>
  <si>
    <t>3 Bd / 2 Ba  [Units 201,202,205,301,302,305; rents $3,531 to $3,952 (sum $]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</si>
  <si>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</si>
  <si>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</si>
  <si>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</si>
  <si>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</si>
  <si>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</si>
  <si>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</si>
  <si>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stated current scheduled rent (OM rent roll 9/1/2026); LAAA column: OM rent roll by unit type</t>
  </si>
  <si>
    <t>Other income (laundry, parking, RUBS)</t>
  </si>
  <si>
    <t>Gross scheduled income</t>
  </si>
  <si>
    <t>Vacancy &amp; credit loss</t>
  </si>
  <si>
    <t>OM 3.0%;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</si>
  <si>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</si>
  <si>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</si>
  <si>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</si>
  <si>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</si>
  <si>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</si>
  <si>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</si>
  <si>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</si>
  <si>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</si>
  <si>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</si>
  <si>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</si>
  <si>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</si>
  <si>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</si>
  <si>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</si>
  <si>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</si>
  <si>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city; OM utilities + water/sewer + gas/electric + trash combined</t>
  </si>
  <si>
    <t>Contract services (landscape, pest, cleaning)</t>
  </si>
  <si>
    <t>per unit</t>
  </si>
  <si>
    <t>Admin / legal / licenses / rent registration / other OM items</t>
  </si>
  <si>
    <t>OM other items: Direct Assessments (2026 actual) 2,554; Maintenance Supplies (2026 annualized) 2,935; Utilities - Telephone (2026 annualized) 767; Elevator (2026 annualized) 2,724; Cleaning &amp; Other Se</t>
  </si>
  <si>
    <t>Replacement reserves</t>
  </si>
  <si>
    <t>Total operating expenses</t>
  </si>
  <si>
    <t>OM line items from OM (OM rent roll 9/1/2026); basis: OM 'Current' column of the Pro Forma Annual Operating Expenses page. Mixed basis: taxes projected at 1.187% x sale price, management 4.0% x GOI (projected), insurance $1.18/GSF (labeled actual), R&amp;M $1,500/unit and reserves $350/unit projected; direct assessments and all utility/service lines are 2026 actual/annualized. gas_electric is gas only (no electric line). utilities key left null because the OM breaks utilities out by line.; OM total 191,916</t>
  </si>
  <si>
    <t>Expenses per unit</t>
  </si>
  <si>
    <t>Expenses as % of EGI</t>
  </si>
  <si>
    <t>OM expense test</t>
  </si>
  <si>
    <t>NOI &amp; RETURNS</t>
  </si>
  <si>
    <t>Net operating income</t>
  </si>
  <si>
    <t>OM states NOI 359,435 / cap 5.66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</si>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</sst>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\$#,##0.00"/>
    <numFmt numFmtId="166" formatCode="0.00&quot;x&quot;"/>
    <numFmt numFmtId="167" formatCode="&quot;$&quot;#,##0;\(&quot;$&quot;#,##0\);&quot;-&quot;"/>
  </numFmts>
  <fonts count="13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595959"/>
      <name val="Calibri"/>
      <family val="2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2CC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0" fontId="8" fillId="0" borderId="0" xfId="0" applyFon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9" fillId="4" borderId="0" xfId="0" applyFont="1" applyFill="1" applyAlignment="1">
      <alignment horizontal="center"/>
    </xf>
    <xf numFmtId="167" fontId="0" fillId="5" borderId="1" xfId="0" applyNumberFormat="1" applyFill="1" applyBorder="1"/>
    <xf numFmtId="167" fontId="0" fillId="0" borderId="0" xfId="0" applyNumberFormat="1"/>
    <xf numFmtId="0" fontId="10" fillId="0" borderId="0" xfId="0" applyFont="1"/>
    <xf numFmtId="0" fontId="11" fillId="0" borderId="0" xfId="0" applyFont="1"/>
    <xf numFmtId="3" fontId="11" fillId="0" borderId="0" xfId="0" applyNumberFormat="1" applyFont="1"/>
    <xf numFmtId="164" fontId="11" fillId="0" borderId="0" xfId="0" applyNumberFormat="1" applyFont="1"/>
    <xf numFmtId="0" fontId="9" fillId="4" borderId="0" xfId="0" applyFont="1" applyFill="1"/>
    <xf numFmtId="164" fontId="0" fillId="6" borderId="0" xfId="0" applyNumberForma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8AB4790-F825-493C-A2DD-FAFC02E9FE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1-S-Bentley-Ave-Los-Angeles-CA/418794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4272-E8F0-4D4B-A02A-ECC940FF2C0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DC41-301A-466A-96A7-C64EDCF97A7D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16568</v>
      </c>
    </row>
    <row r="9" spans="1:3" x14ac:dyDescent="0.25">
      <c r="A9" t="s">
        <v>55</v>
      </c>
      <c r="B9" s="15">
        <v>11761</v>
      </c>
    </row>
    <row r="10" spans="1:3" x14ac:dyDescent="0.25">
      <c r="A10" t="s">
        <v>56</v>
      </c>
      <c r="B10" s="16">
        <v>0.27</v>
      </c>
    </row>
    <row r="11" spans="1:3" x14ac:dyDescent="0.25">
      <c r="A11" t="s">
        <v>57</v>
      </c>
      <c r="B11">
        <v>1964</v>
      </c>
      <c r="C11" s="17" t="s">
        <v>58</v>
      </c>
    </row>
    <row r="12" spans="1:3" x14ac:dyDescent="0.25">
      <c r="A12" t="s">
        <v>59</v>
      </c>
      <c r="B12" t="s">
        <v>60</v>
      </c>
    </row>
    <row r="13" spans="1:3" x14ac:dyDescent="0.25">
      <c r="A13" t="s">
        <v>61</v>
      </c>
      <c r="B13" t="s">
        <v>62</v>
      </c>
    </row>
    <row r="14" spans="1:3" x14ac:dyDescent="0.25">
      <c r="A14" t="s">
        <v>63</v>
      </c>
      <c r="B14" t="s">
        <v>64</v>
      </c>
    </row>
    <row r="15" spans="1:3" x14ac:dyDescent="0.25">
      <c r="A15" t="s">
        <v>65</v>
      </c>
      <c r="B15" t="s">
        <v>66</v>
      </c>
    </row>
    <row r="16" spans="1:3" x14ac:dyDescent="0.25">
      <c r="A16" t="s">
        <v>67</v>
      </c>
      <c r="B16" s="8">
        <v>5866611</v>
      </c>
    </row>
    <row r="17" spans="1:6" x14ac:dyDescent="0.25">
      <c r="A17" t="s">
        <v>68</v>
      </c>
      <c r="B17" t="s">
        <v>69</v>
      </c>
    </row>
    <row r="18" spans="1:6" x14ac:dyDescent="0.25">
      <c r="A18" t="s">
        <v>70</v>
      </c>
      <c r="B18" t="s">
        <v>71</v>
      </c>
    </row>
    <row r="19" spans="1:6" x14ac:dyDescent="0.25">
      <c r="A19" t="s">
        <v>72</v>
      </c>
      <c r="B19" t="s">
        <v>73</v>
      </c>
    </row>
    <row r="21" spans="1:6" x14ac:dyDescent="0.25">
      <c r="A21" s="13" t="s">
        <v>74</v>
      </c>
      <c r="B21" s="14"/>
      <c r="C21" s="14"/>
    </row>
    <row r="22" spans="1:6" x14ac:dyDescent="0.25">
      <c r="A22" t="s">
        <v>75</v>
      </c>
      <c r="B22" s="4">
        <v>6350000</v>
      </c>
    </row>
    <row r="23" spans="1:6" x14ac:dyDescent="0.25">
      <c r="A23" t="s">
        <v>76</v>
      </c>
      <c r="B23" s="8">
        <f>IFERROR(B22/B7,"")</f>
        <v>423333.33333333331</v>
      </c>
    </row>
    <row r="24" spans="1:6" x14ac:dyDescent="0.25">
      <c r="A24" t="s">
        <v>77</v>
      </c>
      <c r="B24" s="18">
        <f>IFERROR(B22/B8,"")</f>
        <v>383.26895219700629</v>
      </c>
    </row>
    <row r="25" spans="1:6" x14ac:dyDescent="0.25">
      <c r="A25" t="s">
        <v>78</v>
      </c>
      <c r="B25" s="19">
        <v>5.6599999999999998E-2</v>
      </c>
    </row>
    <row r="26" spans="1:6" x14ac:dyDescent="0.25">
      <c r="A26" t="s">
        <v>79</v>
      </c>
      <c r="B26" s="20">
        <v>11.23</v>
      </c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1" t="s">
        <v>81</v>
      </c>
      <c r="B29" s="21" t="s">
        <v>82</v>
      </c>
      <c r="C29" s="21" t="s">
        <v>83</v>
      </c>
      <c r="D29" s="21" t="s">
        <v>84</v>
      </c>
      <c r="E29" s="21" t="s">
        <v>85</v>
      </c>
      <c r="F29" s="21" t="s">
        <v>86</v>
      </c>
    </row>
    <row r="30" spans="1:6" x14ac:dyDescent="0.25">
      <c r="A30" t="s">
        <v>87</v>
      </c>
      <c r="B30" s="15">
        <v>1</v>
      </c>
      <c r="C30" s="22">
        <v>2900</v>
      </c>
      <c r="D30" s="23">
        <f>B30*C30</f>
        <v>2900</v>
      </c>
      <c r="E30" s="23">
        <f>D30*12</f>
        <v>34800</v>
      </c>
      <c r="F30" s="24" t="s">
        <v>88</v>
      </c>
    </row>
    <row r="31" spans="1:6" x14ac:dyDescent="0.25">
      <c r="A31" t="s">
        <v>89</v>
      </c>
      <c r="B31" s="15">
        <v>1</v>
      </c>
      <c r="C31" s="22">
        <v>2648</v>
      </c>
      <c r="D31" s="23">
        <f>B31*C31</f>
        <v>2648</v>
      </c>
      <c r="E31" s="23">
        <f>D31*12</f>
        <v>31776</v>
      </c>
      <c r="F31" s="24" t="s">
        <v>88</v>
      </c>
    </row>
    <row r="32" spans="1:6" x14ac:dyDescent="0.25">
      <c r="A32" t="s">
        <v>90</v>
      </c>
      <c r="B32" s="15">
        <v>7</v>
      </c>
      <c r="C32" s="22">
        <v>2699</v>
      </c>
      <c r="D32" s="23">
        <f>B32*C32</f>
        <v>18893</v>
      </c>
      <c r="E32" s="23">
        <f>D32*12</f>
        <v>226716</v>
      </c>
      <c r="F32" s="24" t="s">
        <v>88</v>
      </c>
    </row>
    <row r="33" spans="1:6" x14ac:dyDescent="0.25">
      <c r="A33" t="s">
        <v>91</v>
      </c>
      <c r="B33" s="15">
        <v>6</v>
      </c>
      <c r="C33" s="22">
        <v>3780</v>
      </c>
      <c r="D33" s="23">
        <f>B33*C33</f>
        <v>22680</v>
      </c>
      <c r="E33" s="23">
        <f>D33*12</f>
        <v>272160</v>
      </c>
      <c r="F33" s="24" t="s">
        <v>88</v>
      </c>
    </row>
    <row r="34" spans="1:6" x14ac:dyDescent="0.25">
      <c r="A34" s="25" t="s">
        <v>92</v>
      </c>
      <c r="B34" s="26">
        <f>SUM(B30:B33)</f>
        <v>15</v>
      </c>
      <c r="C34" s="27">
        <f>IFERROR(D34/B34,"")</f>
        <v>3141.4</v>
      </c>
      <c r="D34" s="27">
        <f>SUM(D30:D33)</f>
        <v>47121</v>
      </c>
      <c r="E34" s="27">
        <f>SUM(E30:E33)</f>
        <v>565452</v>
      </c>
    </row>
    <row r="36" spans="1:6" x14ac:dyDescent="0.25">
      <c r="A36" s="13" t="s">
        <v>93</v>
      </c>
      <c r="B36" s="14"/>
      <c r="C36" s="14"/>
      <c r="D36" s="14"/>
      <c r="E36" s="14"/>
      <c r="F36" s="14"/>
    </row>
    <row r="37" spans="1:6" x14ac:dyDescent="0.25">
      <c r="A37" s="28"/>
      <c r="B37" s="28" t="s">
        <v>94</v>
      </c>
      <c r="C37" s="28" t="s">
        <v>95</v>
      </c>
      <c r="D37" s="28"/>
      <c r="E37" s="28"/>
      <c r="F37" s="28" t="s">
        <v>96</v>
      </c>
    </row>
    <row r="38" spans="1:6" x14ac:dyDescent="0.25">
      <c r="A38" t="s">
        <v>97</v>
      </c>
      <c r="B38" s="23">
        <v>565525</v>
      </c>
      <c r="C38" s="8">
        <f>E34</f>
        <v>565452</v>
      </c>
      <c r="F38" s="2" t="s">
        <v>98</v>
      </c>
    </row>
    <row r="39" spans="1:6" x14ac:dyDescent="0.25">
      <c r="A39" t="s">
        <v>99</v>
      </c>
      <c r="B39" s="8">
        <v>2791</v>
      </c>
      <c r="C39" s="4">
        <v>2791</v>
      </c>
    </row>
    <row r="40" spans="1:6" x14ac:dyDescent="0.25">
      <c r="A40" s="25" t="s">
        <v>100</v>
      </c>
      <c r="B40" s="8">
        <f>B38+B39</f>
        <v>568316</v>
      </c>
      <c r="C40" s="8">
        <f>C38+C39</f>
        <v>568243</v>
      </c>
    </row>
    <row r="41" spans="1:6" x14ac:dyDescent="0.25">
      <c r="A41" t="s">
        <v>101</v>
      </c>
      <c r="B41" s="8">
        <f>-B38*0.03</f>
        <v>-16965.75</v>
      </c>
      <c r="C41" s="8">
        <f>-C38*Assumptions!$B$3</f>
        <v>-16963.559999999998</v>
      </c>
      <c r="F41" s="2" t="s">
        <v>102</v>
      </c>
    </row>
    <row r="42" spans="1:6" x14ac:dyDescent="0.25">
      <c r="A42" s="25" t="s">
        <v>103</v>
      </c>
      <c r="B42" s="27">
        <f>B40+B41</f>
        <v>551350.25</v>
      </c>
      <c r="C42" s="27">
        <f>C40+C41</f>
        <v>551279.43999999994</v>
      </c>
    </row>
    <row r="44" spans="1:6" x14ac:dyDescent="0.25">
      <c r="A44" s="13" t="s">
        <v>104</v>
      </c>
      <c r="B44" s="14"/>
      <c r="C44" s="14"/>
      <c r="D44" s="14"/>
      <c r="E44" s="14"/>
      <c r="F44" s="14"/>
    </row>
    <row r="45" spans="1:6" x14ac:dyDescent="0.25">
      <c r="A45" s="28" t="s">
        <v>105</v>
      </c>
      <c r="B45" s="28" t="s">
        <v>94</v>
      </c>
      <c r="C45" s="28" t="s">
        <v>106</v>
      </c>
      <c r="D45" s="28" t="s">
        <v>95</v>
      </c>
      <c r="E45" s="28" t="s">
        <v>107</v>
      </c>
      <c r="F45" s="28" t="s">
        <v>96</v>
      </c>
    </row>
    <row r="46" spans="1:6" x14ac:dyDescent="0.25">
      <c r="A46" t="s">
        <v>108</v>
      </c>
      <c r="B46" s="23">
        <v>75399</v>
      </c>
      <c r="C46" s="8">
        <f>B22*Assumptions!$B$15</f>
        <v>79375</v>
      </c>
      <c r="D46" s="29">
        <f>C46</f>
        <v>79375</v>
      </c>
      <c r="E46" s="8">
        <f t="shared" ref="E46:E54" si="0">IF(ISNUMBER(B46),D46-B46,"")</f>
        <v>3976</v>
      </c>
      <c r="F46" s="2" t="s">
        <v>109</v>
      </c>
    </row>
    <row r="47" spans="1:6" x14ac:dyDescent="0.25">
      <c r="A47" t="s">
        <v>110</v>
      </c>
      <c r="B47" s="23">
        <v>19527</v>
      </c>
      <c r="C47" s="8">
        <f>B7*Assumptions!$B$5+B8*Assumptions!$B$6</f>
        <v>19568</v>
      </c>
      <c r="D47" s="29">
        <f t="shared" ref="D47:D53" si="1">IF(ISNUMBER(B47),MAX(B47,C47),C47)</f>
        <v>19568</v>
      </c>
      <c r="E47" s="8">
        <f t="shared" si="0"/>
        <v>41</v>
      </c>
      <c r="F47" s="2" t="s">
        <v>111</v>
      </c>
    </row>
    <row r="48" spans="1:6" x14ac:dyDescent="0.25">
      <c r="A48" t="s">
        <v>112</v>
      </c>
      <c r="B48" s="23">
        <v>22054</v>
      </c>
      <c r="C48" s="8">
        <f>C42*Assumptions!$B$4</f>
        <v>27563.971999999998</v>
      </c>
      <c r="D48" s="29">
        <f t="shared" si="1"/>
        <v>27563.971999999998</v>
      </c>
      <c r="E48" s="8">
        <f t="shared" si="0"/>
        <v>5509.9719999999979</v>
      </c>
      <c r="F48" s="2" t="s">
        <v>113</v>
      </c>
    </row>
    <row r="49" spans="1:6" x14ac:dyDescent="0.25">
      <c r="A49" t="s">
        <v>114</v>
      </c>
      <c r="B49" s="23">
        <v>22500</v>
      </c>
      <c r="C49" s="8">
        <f>B7*Assumptions!$B$7</f>
        <v>18000</v>
      </c>
      <c r="D49" s="29">
        <f t="shared" si="1"/>
        <v>22500</v>
      </c>
      <c r="E49" s="8">
        <f t="shared" si="0"/>
        <v>0</v>
      </c>
      <c r="F49" s="2" t="s">
        <v>115</v>
      </c>
    </row>
    <row r="50" spans="1:6" x14ac:dyDescent="0.25">
      <c r="A50" t="s">
        <v>116</v>
      </c>
      <c r="B50" s="23">
        <v>28692</v>
      </c>
      <c r="C50" s="8">
        <f>B7*Assumptions!$B$9</f>
        <v>22500</v>
      </c>
      <c r="D50" s="29">
        <f t="shared" si="1"/>
        <v>28692</v>
      </c>
      <c r="E50" s="8">
        <f t="shared" si="0"/>
        <v>0</v>
      </c>
      <c r="F50" s="2" t="s">
        <v>117</v>
      </c>
    </row>
    <row r="51" spans="1:6" x14ac:dyDescent="0.25">
      <c r="A51" t="s">
        <v>118</v>
      </c>
      <c r="B51" s="23">
        <v>5646</v>
      </c>
      <c r="C51" s="8">
        <f>B7*Assumptions!$B$12</f>
        <v>6000</v>
      </c>
      <c r="D51" s="29">
        <f t="shared" si="1"/>
        <v>6000</v>
      </c>
      <c r="E51" s="8">
        <f t="shared" si="0"/>
        <v>354</v>
      </c>
      <c r="F51" s="2" t="s">
        <v>119</v>
      </c>
    </row>
    <row r="52" spans="1:6" x14ac:dyDescent="0.25">
      <c r="A52" t="s">
        <v>120</v>
      </c>
      <c r="B52" s="23">
        <v>12848</v>
      </c>
      <c r="C52" s="8">
        <f>B7*Assumptions!$B$13</f>
        <v>3750</v>
      </c>
      <c r="D52" s="29">
        <f t="shared" si="1"/>
        <v>12848</v>
      </c>
      <c r="E52" s="8">
        <f t="shared" si="0"/>
        <v>0</v>
      </c>
      <c r="F52" s="2" t="s">
        <v>121</v>
      </c>
    </row>
    <row r="53" spans="1:6" x14ac:dyDescent="0.25">
      <c r="A53" t="s">
        <v>122</v>
      </c>
      <c r="B53" s="23">
        <v>5250</v>
      </c>
      <c r="C53" s="8">
        <f>B7*Assumptions!$B$14</f>
        <v>4500</v>
      </c>
      <c r="D53" s="29">
        <f t="shared" si="1"/>
        <v>5250</v>
      </c>
      <c r="E53" s="8">
        <f t="shared" si="0"/>
        <v>0</v>
      </c>
      <c r="F53" s="2" t="s">
        <v>119</v>
      </c>
    </row>
    <row r="54" spans="1:6" x14ac:dyDescent="0.25">
      <c r="A54" s="25" t="s">
        <v>123</v>
      </c>
      <c r="B54" s="27">
        <f>SUM(B46:B53)</f>
        <v>191916</v>
      </c>
      <c r="C54" s="27">
        <f>SUM(C46:C53)</f>
        <v>181256.97200000001</v>
      </c>
      <c r="D54" s="27">
        <f>SUM(D46:D53)</f>
        <v>201796.97200000001</v>
      </c>
      <c r="E54" s="27">
        <f t="shared" si="0"/>
        <v>9880.9720000000088</v>
      </c>
      <c r="F54" s="2" t="s">
        <v>124</v>
      </c>
    </row>
    <row r="55" spans="1:6" x14ac:dyDescent="0.25">
      <c r="A55" t="s">
        <v>125</v>
      </c>
      <c r="B55" s="8">
        <f>IFERROR(B54/B7,"")</f>
        <v>12794.4</v>
      </c>
      <c r="C55" s="8">
        <f>IFERROR(C54/B7,"")</f>
        <v>12083.798133333334</v>
      </c>
      <c r="D55" s="8">
        <f>IFERROR(D54/B7,"")</f>
        <v>13453.131466666668</v>
      </c>
    </row>
    <row r="56" spans="1:6" x14ac:dyDescent="0.25">
      <c r="A56" t="s">
        <v>126</v>
      </c>
      <c r="B56" s="19">
        <f>IFERROR(B54/B42,"")</f>
        <v>0.34808363649059743</v>
      </c>
      <c r="C56" s="19">
        <f>IFERROR(C54/C42,"")</f>
        <v>0.32879327406079217</v>
      </c>
      <c r="D56" s="19">
        <f>IF(C38&gt;0,IFERROR(D54/C42,""),"")</f>
        <v>0.36605205519726985</v>
      </c>
    </row>
    <row r="57" spans="1:6" x14ac:dyDescent="0.25">
      <c r="A57" s="25" t="s">
        <v>127</v>
      </c>
      <c r="B57" s="30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128</v>
      </c>
      <c r="B59" s="14"/>
      <c r="C59" s="14"/>
      <c r="D59" s="14"/>
      <c r="E59" s="14"/>
      <c r="F59" s="14"/>
    </row>
    <row r="60" spans="1:6" x14ac:dyDescent="0.25">
      <c r="A60" s="28"/>
      <c r="B60" s="28" t="s">
        <v>94</v>
      </c>
      <c r="C60" s="28" t="s">
        <v>95</v>
      </c>
      <c r="D60" s="28"/>
      <c r="E60" s="28"/>
      <c r="F60" s="28" t="s">
        <v>96</v>
      </c>
    </row>
    <row r="61" spans="1:6" x14ac:dyDescent="0.25">
      <c r="A61" s="25" t="s">
        <v>129</v>
      </c>
      <c r="B61" s="27">
        <f>B42-B54</f>
        <v>359434.25</v>
      </c>
      <c r="C61" s="27">
        <f>IF(C38&gt;0,C42-D54,"")</f>
        <v>349482.46799999994</v>
      </c>
      <c r="F61" t="s">
        <v>130</v>
      </c>
    </row>
    <row r="62" spans="1:6" x14ac:dyDescent="0.25">
      <c r="A62" s="25" t="s">
        <v>131</v>
      </c>
      <c r="B62" s="19">
        <f>IFERROR(B61/B22,"")</f>
        <v>5.6603818897637798E-2</v>
      </c>
      <c r="C62" s="19">
        <f>IF(C61="","",IFERROR(C61/B22,""))</f>
        <v>5.5036609133858258E-2</v>
      </c>
      <c r="F62" s="2" t="s">
        <v>132</v>
      </c>
    </row>
    <row r="63" spans="1:6" x14ac:dyDescent="0.25">
      <c r="A63" t="s">
        <v>133</v>
      </c>
      <c r="B63" s="20">
        <f>IFERROR(B22/B38,"")</f>
        <v>11.228504486981123</v>
      </c>
      <c r="C63" s="20">
        <f>IF(C38&gt;0,IFERROR(B22/C38,""),"")</f>
        <v>11.229954089825485</v>
      </c>
    </row>
    <row r="64" spans="1:6" x14ac:dyDescent="0.25">
      <c r="A64" t="s">
        <v>134</v>
      </c>
      <c r="B64" s="8">
        <f>IFERROR(B61/B7,"")</f>
        <v>23962.283333333333</v>
      </c>
      <c r="C64" s="8">
        <f>IF(C61="","",IFERROR(C61/B7,""))</f>
        <v>23298.831199999997</v>
      </c>
    </row>
    <row r="66" spans="1:6" x14ac:dyDescent="0.25">
      <c r="A66" s="13" t="s">
        <v>135</v>
      </c>
      <c r="B66" s="14"/>
      <c r="C66" s="14"/>
      <c r="D66" s="14"/>
      <c r="E66" s="14"/>
      <c r="F66" s="14"/>
    </row>
    <row r="67" spans="1:6" x14ac:dyDescent="0.25">
      <c r="A67" t="s">
        <v>136</v>
      </c>
      <c r="B67" s="8">
        <f>IFERROR(B22*Assumptions!$B$20,"")</f>
        <v>3810000</v>
      </c>
    </row>
    <row r="68" spans="1:6" x14ac:dyDescent="0.25">
      <c r="A68" t="s">
        <v>137</v>
      </c>
      <c r="B68" s="8">
        <f>IF(C61="","",IFERROR(PV(Assumptions!$B$22/12,Assumptions!$B$23*12,-C61/Assumptions!$B$21/12),""))</f>
        <v>3784014.9964732514</v>
      </c>
    </row>
    <row r="69" spans="1:6" x14ac:dyDescent="0.25">
      <c r="A69" s="25" t="s">
        <v>138</v>
      </c>
      <c r="B69" s="8">
        <f>IFERROR(MIN(B67,B68),"")</f>
        <v>3784014.9964732514</v>
      </c>
    </row>
    <row r="70" spans="1:6" x14ac:dyDescent="0.25">
      <c r="A70" t="s">
        <v>139</v>
      </c>
      <c r="B70" s="8">
        <f>IFERROR(B22-B69,"")</f>
        <v>2565985.0035267486</v>
      </c>
    </row>
    <row r="71" spans="1:6" x14ac:dyDescent="0.25">
      <c r="A71" t="s">
        <v>140</v>
      </c>
      <c r="B71" s="8">
        <f>IFERROR(-PMT(Assumptions!$B$22/12,Assumptions!$B$23*12,B69)*12,"")</f>
        <v>279585.97439999902</v>
      </c>
    </row>
    <row r="72" spans="1:6" x14ac:dyDescent="0.25">
      <c r="A72" t="s">
        <v>141</v>
      </c>
      <c r="B72" s="20">
        <f>IFERROR(C61/B71,"")</f>
        <v>1.2500000000000042</v>
      </c>
    </row>
    <row r="73" spans="1:6" x14ac:dyDescent="0.25">
      <c r="A73" t="s">
        <v>142</v>
      </c>
      <c r="B73" s="8">
        <f>IFERROR(C61-B71,"")</f>
        <v>69896.493600000918</v>
      </c>
    </row>
    <row r="74" spans="1:6" x14ac:dyDescent="0.25">
      <c r="A74" t="s">
        <v>143</v>
      </c>
      <c r="B74" s="19">
        <f>IFERROR(B73/B70,"")</f>
        <v>2.7239634488874086E-2</v>
      </c>
    </row>
    <row r="76" spans="1:6" x14ac:dyDescent="0.25">
      <c r="A76" s="2" t="s">
        <v>144</v>
      </c>
    </row>
  </sheetData>
  <hyperlinks>
    <hyperlink ref="A3" r:id="rId1" xr:uid="{473D3D7F-B4C1-4234-A58D-59FE728B1101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08 1811 S Bentley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2026-09-17T20:40:27Z</dcterms:created>
  <dcterms:modified xsi:type="dcterms:W3CDTF">2026-09-17T20:40:28Z</dcterms:modified>
</cp:coreProperties>
</file>