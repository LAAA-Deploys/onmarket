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BD8B0FAB-38BA-4E3E-A818-CB83E8AD7469}" xr6:coauthVersionLast="47" xr6:coauthVersionMax="47" xr10:uidLastSave="{00000000-0000-0000-0000-000000000000}"/>
  <bookViews>
    <workbookView xWindow="-120" yWindow="-120" windowWidth="29040" windowHeight="15720" activeTab="1" xr2:uid="{32307C71-9E5C-4C13-B096-BFEA9250FD55}"/>
  </bookViews>
  <sheets>
    <sheet name="Assumptions" sheetId="1" r:id="rId1"/>
    <sheet name="08 11825 National Blvd" sheetId="2" r:id="rId2"/>
  </sheets>
  <definedNames>
    <definedName name="_xlnm.Print_Area" localSheetId="1">'08 11825 National Blvd'!$A$1:$N$78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D50" i="2"/>
  <c r="C50" i="2"/>
  <c r="E49" i="2"/>
  <c r="C49" i="2"/>
  <c r="D49" i="2" s="1"/>
  <c r="E48" i="2"/>
  <c r="D48" i="2"/>
  <c r="C48" i="2"/>
  <c r="E47" i="2"/>
  <c r="C47" i="2"/>
  <c r="D47" i="2" s="1"/>
  <c r="E46" i="2"/>
  <c r="E45" i="2"/>
  <c r="C45" i="2"/>
  <c r="E44" i="2"/>
  <c r="D44" i="2"/>
  <c r="C44" i="2"/>
  <c r="B39" i="2"/>
  <c r="B38" i="2"/>
  <c r="B40" i="2" s="1"/>
  <c r="D32" i="2"/>
  <c r="C32" i="2" s="1"/>
  <c r="B32" i="2"/>
  <c r="E31" i="2"/>
  <c r="D31" i="2"/>
  <c r="D30" i="2"/>
  <c r="E30" i="2" s="1"/>
  <c r="E32" i="2" s="1"/>
  <c r="C36" i="2" s="1"/>
  <c r="B24" i="2"/>
  <c r="B23" i="2"/>
  <c r="B52" i="2" l="1"/>
  <c r="B59" i="2"/>
  <c r="C39" i="2"/>
  <c r="C38" i="2"/>
  <c r="C40" i="2" s="1"/>
  <c r="C46" i="2" s="1"/>
  <c r="D46" i="2" s="1"/>
  <c r="C61" i="2"/>
  <c r="D45" i="2"/>
  <c r="D52" i="2" s="1"/>
  <c r="D53" i="2" l="1"/>
  <c r="D54" i="2"/>
  <c r="C59" i="2"/>
  <c r="C52" i="2"/>
  <c r="B60" i="2"/>
  <c r="B62" i="2"/>
  <c r="E52" i="2"/>
  <c r="B55" i="2"/>
  <c r="B54" i="2"/>
  <c r="B53" i="2"/>
  <c r="C54" i="2" l="1"/>
  <c r="C53" i="2"/>
  <c r="C60" i="2"/>
  <c r="B66" i="2"/>
  <c r="B67" i="2" s="1"/>
  <c r="C62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<sst xmlns="http://schemas.openxmlformats.org/spreadsheetml/2006/main" count="149" uniqueCount="141">
  <si>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</si>
  <si>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</si>
  <si>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</si>
  <si>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</si>
  <si>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</si>
  <si>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</si>
  <si>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</si>
  <si>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</si>
  <si>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</si>
  <si>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</si>
  <si>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</si>
  <si>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</si>
  <si>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</si>
  <si>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</si>
  <si>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</si>
  <si>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</si>
  <si>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</si>
  <si>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</si>
  <si>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</si>
  <si>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</si>
  <si>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</si>
  <si>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</si>
  <si>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</si>
  <si>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</si>
  <si>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</si>
  <si>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</si>
  <si>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</si>
  <si>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</si>
  <si>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</si>
  <si>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</si>
  <si>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</si>
  <si>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</si>
  <si>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</si>
  <si>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</si>
  <si>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</si>
  <si>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</si>
  <si>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</si>
  <si>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</si>
  <si>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</si>
  <si>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</si>
  <si>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</si>
  <si>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</si>
  <si>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</si>
  <si>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</si>
  <si>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</si>
  <si>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</si>
  <si>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</si>
  <si>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11825 National Blvd</t>
  </si>
  <si>
    <t>Los Angeles, CA 90064  |  West LA / Rancho Park</t>
  </si>
  <si>
    <t>LoopNet listing</t>
  </si>
  <si>
    <t>Data pulled 9/17/2026 from LoopNet public listing</t>
  </si>
  <si>
    <t>NOTE: Reduced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</si>
  <si>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</si>
  <si>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</si>
  <si>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</si>
  <si>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</si>
  <si>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</si>
  <si>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</si>
  <si>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</si>
  <si>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</si>
  <si>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</si>
  <si>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LAR3 - Multi Family Dwelling</t>
  </si>
  <si>
    <t>Occupancy per listing</t>
  </si>
  <si>
    <t>100%</t>
  </si>
  <si>
    <t>APN</t>
  </si>
  <si>
    <t>4257-019-044</t>
  </si>
  <si>
    <t>Assessed value (current)</t>
  </si>
  <si>
    <t>Listing broker(s)</t>
  </si>
  <si>
    <t>Jonathan Taksa</t>
  </si>
  <si>
    <t>Date on market</t>
  </si>
  <si>
    <t>8/24/2026</t>
  </si>
  <si>
    <t>Listing last updated</t>
  </si>
  <si>
    <t>9/9/2026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</si>
  <si>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</si>
  <si>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</si>
  <si>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</si>
  <si>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</si>
  <si>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</si>
  <si>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</si>
  <si>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</si>
  <si>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</si>
  <si>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</si>
  <si>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</si>
  <si>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</si>
  <si>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</si>
  <si>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</si>
  <si>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2 Ba</t>
  </si>
  <si>
    <t>Allocated from published GRM (price / GRM) using LAAA bed weights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</si>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</sst>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003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7DB6EB2B-D9CD-4D02-A189-E3A592C69A3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003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1825-National-Blvd-Los-Angeles-CA/4186199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F43C6-4FB8-41AF-AED2-B207AC5F4938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8A237-6B7E-4F03-AAD6-B6EB85D0289F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13</v>
      </c>
    </row>
    <row r="8" spans="1:3" x14ac:dyDescent="0.25">
      <c r="A8" t="s">
        <v>54</v>
      </c>
      <c r="B8" s="15">
        <v>11831</v>
      </c>
    </row>
    <row r="9" spans="1:3" x14ac:dyDescent="0.25">
      <c r="A9" t="s">
        <v>55</v>
      </c>
      <c r="B9" s="15">
        <v>10019</v>
      </c>
    </row>
    <row r="10" spans="1:3" x14ac:dyDescent="0.25">
      <c r="A10" t="s">
        <v>56</v>
      </c>
      <c r="B10" s="16">
        <v>0.23</v>
      </c>
    </row>
    <row r="11" spans="1:3" x14ac:dyDescent="0.25">
      <c r="A11" t="s">
        <v>57</v>
      </c>
      <c r="B11">
        <v>1971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5354487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4595000</v>
      </c>
    </row>
    <row r="23" spans="1:6" x14ac:dyDescent="0.25">
      <c r="A23" t="s">
        <v>75</v>
      </c>
      <c r="B23" s="8">
        <f>IFERROR(B22/B7,"")</f>
        <v>353461.53846153844</v>
      </c>
    </row>
    <row r="24" spans="1:6" x14ac:dyDescent="0.25">
      <c r="A24" t="s">
        <v>76</v>
      </c>
      <c r="B24" s="17">
        <f>IFERROR(B22/B8,"")</f>
        <v>388.38644239709237</v>
      </c>
    </row>
    <row r="25" spans="1:6" x14ac:dyDescent="0.25">
      <c r="A25" t="s">
        <v>77</v>
      </c>
      <c r="B25" s="18">
        <v>5.7099999999999998E-2</v>
      </c>
    </row>
    <row r="26" spans="1:6" x14ac:dyDescent="0.25">
      <c r="A26" t="s">
        <v>78</v>
      </c>
      <c r="B26" s="19">
        <v>11.21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5</v>
      </c>
      <c r="C30" s="21">
        <v>3126</v>
      </c>
      <c r="D30" s="8">
        <f>B30*C30</f>
        <v>15630</v>
      </c>
      <c r="E30" s="8">
        <f>D30*12</f>
        <v>187560</v>
      </c>
      <c r="F30" s="2" t="s">
        <v>87</v>
      </c>
    </row>
    <row r="31" spans="1:6" x14ac:dyDescent="0.25">
      <c r="A31" t="s">
        <v>88</v>
      </c>
      <c r="B31" s="15">
        <v>8</v>
      </c>
      <c r="C31" s="21">
        <v>2316</v>
      </c>
      <c r="D31" s="8">
        <f>B31*C31</f>
        <v>18528</v>
      </c>
      <c r="E31" s="8">
        <f>D31*12</f>
        <v>222336</v>
      </c>
      <c r="F31" s="2" t="s">
        <v>87</v>
      </c>
    </row>
    <row r="32" spans="1:6" x14ac:dyDescent="0.25">
      <c r="A32" s="22" t="s">
        <v>89</v>
      </c>
      <c r="B32" s="23">
        <f>SUM(B30:B31)</f>
        <v>13</v>
      </c>
      <c r="C32" s="24">
        <f>IFERROR(D32/B32,"")</f>
        <v>2627.5384615384614</v>
      </c>
      <c r="D32" s="24">
        <f>SUM(D30:D31)</f>
        <v>34158</v>
      </c>
      <c r="E32" s="24">
        <f>SUM(E30:E31)</f>
        <v>409896</v>
      </c>
    </row>
    <row r="34" spans="1:6" x14ac:dyDescent="0.25">
      <c r="A34" s="13" t="s">
        <v>90</v>
      </c>
      <c r="B34" s="14"/>
      <c r="C34" s="14"/>
      <c r="D34" s="14"/>
      <c r="E34" s="14"/>
      <c r="F34" s="14"/>
    </row>
    <row r="35" spans="1:6" x14ac:dyDescent="0.25">
      <c r="A35" s="25"/>
      <c r="B35" s="25" t="s">
        <v>91</v>
      </c>
      <c r="C35" s="25" t="s">
        <v>92</v>
      </c>
      <c r="D35" s="25"/>
      <c r="E35" s="25"/>
      <c r="F35" s="25" t="s">
        <v>93</v>
      </c>
    </row>
    <row r="36" spans="1:6" x14ac:dyDescent="0.25">
      <c r="A36" t="s">
        <v>94</v>
      </c>
      <c r="B36" s="8">
        <v>409901.87332738622</v>
      </c>
      <c r="C36" s="8">
        <f>E32</f>
        <v>409896</v>
      </c>
      <c r="F36" s="2" t="s">
        <v>95</v>
      </c>
    </row>
    <row r="37" spans="1:6" x14ac:dyDescent="0.25">
      <c r="A37" t="s">
        <v>96</v>
      </c>
      <c r="B37" s="8">
        <v>0</v>
      </c>
      <c r="C37" s="4">
        <v>0</v>
      </c>
    </row>
    <row r="38" spans="1:6" x14ac:dyDescent="0.25">
      <c r="A38" s="22" t="s">
        <v>97</v>
      </c>
      <c r="B38" s="8">
        <f>B36+B37</f>
        <v>409901.87332738622</v>
      </c>
      <c r="C38" s="8">
        <f>C36+C37</f>
        <v>409896</v>
      </c>
    </row>
    <row r="39" spans="1:6" x14ac:dyDescent="0.25">
      <c r="A39" t="s">
        <v>98</v>
      </c>
      <c r="B39" s="8">
        <f>-B36*0.03</f>
        <v>-12297.056199821585</v>
      </c>
      <c r="C39" s="8">
        <f>-C36*Assumptions!$B$3</f>
        <v>-12296.88</v>
      </c>
      <c r="F39" s="2" t="s">
        <v>99</v>
      </c>
    </row>
    <row r="40" spans="1:6" x14ac:dyDescent="0.25">
      <c r="A40" s="22" t="s">
        <v>100</v>
      </c>
      <c r="B40" s="24">
        <f>B38+B39</f>
        <v>397604.81712756463</v>
      </c>
      <c r="C40" s="24">
        <f>C38+C39</f>
        <v>397599.12</v>
      </c>
    </row>
    <row r="42" spans="1:6" x14ac:dyDescent="0.25">
      <c r="A42" s="13" t="s">
        <v>101</v>
      </c>
      <c r="B42" s="14"/>
      <c r="C42" s="14"/>
      <c r="D42" s="14"/>
      <c r="E42" s="14"/>
      <c r="F42" s="14"/>
    </row>
    <row r="43" spans="1:6" x14ac:dyDescent="0.25">
      <c r="A43" s="25" t="s">
        <v>102</v>
      </c>
      <c r="B43" s="25" t="s">
        <v>91</v>
      </c>
      <c r="C43" s="25" t="s">
        <v>103</v>
      </c>
      <c r="D43" s="25" t="s">
        <v>92</v>
      </c>
      <c r="E43" s="25" t="s">
        <v>104</v>
      </c>
      <c r="F43" s="25" t="s">
        <v>93</v>
      </c>
    </row>
    <row r="44" spans="1:6" x14ac:dyDescent="0.25">
      <c r="A44" t="s">
        <v>105</v>
      </c>
      <c r="B44" s="8"/>
      <c r="C44" s="8">
        <f>B22*Assumptions!$B$15</f>
        <v>57437.5</v>
      </c>
      <c r="D44" s="26">
        <f>C44</f>
        <v>57437.5</v>
      </c>
      <c r="E44" s="8" t="str">
        <f t="shared" ref="E44:E52" si="0">IF(ISNUMBER(B44),D44-B44,"")</f>
        <v/>
      </c>
      <c r="F44" s="2" t="s">
        <v>106</v>
      </c>
    </row>
    <row r="45" spans="1:6" x14ac:dyDescent="0.25">
      <c r="A45" t="s">
        <v>107</v>
      </c>
      <c r="B45" s="8"/>
      <c r="C45" s="8">
        <f>B7*Assumptions!$B$5+B8*Assumptions!$B$6</f>
        <v>14431</v>
      </c>
      <c r="D45" s="26">
        <f t="shared" ref="D45:D51" si="1">IF(ISNUMBER(B45),MAX(B45,C45),C45)</f>
        <v>14431</v>
      </c>
      <c r="E45" s="8" t="str">
        <f t="shared" si="0"/>
        <v/>
      </c>
      <c r="F45" s="2" t="s">
        <v>108</v>
      </c>
    </row>
    <row r="46" spans="1:6" x14ac:dyDescent="0.25">
      <c r="A46" t="s">
        <v>109</v>
      </c>
      <c r="B46" s="8"/>
      <c r="C46" s="8">
        <f>C40*Assumptions!$B$4</f>
        <v>19879.956000000002</v>
      </c>
      <c r="D46" s="26">
        <f t="shared" si="1"/>
        <v>19879.956000000002</v>
      </c>
      <c r="E46" s="8" t="str">
        <f t="shared" si="0"/>
        <v/>
      </c>
      <c r="F46" s="2" t="s">
        <v>110</v>
      </c>
    </row>
    <row r="47" spans="1:6" x14ac:dyDescent="0.25">
      <c r="A47" t="s">
        <v>111</v>
      </c>
      <c r="B47" s="8"/>
      <c r="C47" s="8">
        <f>B7*Assumptions!$B$7</f>
        <v>15600</v>
      </c>
      <c r="D47" s="26">
        <f t="shared" si="1"/>
        <v>15600</v>
      </c>
      <c r="E47" s="8" t="str">
        <f t="shared" si="0"/>
        <v/>
      </c>
      <c r="F47" s="2" t="s">
        <v>112</v>
      </c>
    </row>
    <row r="48" spans="1:6" x14ac:dyDescent="0.25">
      <c r="A48" t="s">
        <v>113</v>
      </c>
      <c r="B48" s="8"/>
      <c r="C48" s="8">
        <f>B7*Assumptions!$B$9</f>
        <v>19500</v>
      </c>
      <c r="D48" s="26">
        <f t="shared" si="1"/>
        <v>19500</v>
      </c>
      <c r="E48" s="8" t="str">
        <f t="shared" si="0"/>
        <v/>
      </c>
      <c r="F48" s="2" t="s">
        <v>114</v>
      </c>
    </row>
    <row r="49" spans="1:6" x14ac:dyDescent="0.25">
      <c r="A49" t="s">
        <v>115</v>
      </c>
      <c r="B49" s="8"/>
      <c r="C49" s="8">
        <f>B7*Assumptions!$B$12</f>
        <v>5200</v>
      </c>
      <c r="D49" s="26">
        <f t="shared" si="1"/>
        <v>5200</v>
      </c>
      <c r="E49" s="8" t="str">
        <f t="shared" si="0"/>
        <v/>
      </c>
      <c r="F49" s="2" t="s">
        <v>116</v>
      </c>
    </row>
    <row r="50" spans="1:6" x14ac:dyDescent="0.25">
      <c r="A50" t="s">
        <v>117</v>
      </c>
      <c r="B50" s="8"/>
      <c r="C50" s="8">
        <f>B7*Assumptions!$B$13</f>
        <v>3250</v>
      </c>
      <c r="D50" s="26">
        <f t="shared" si="1"/>
        <v>3250</v>
      </c>
      <c r="E50" s="8" t="str">
        <f t="shared" si="0"/>
        <v/>
      </c>
      <c r="F50" s="2" t="s">
        <v>118</v>
      </c>
    </row>
    <row r="51" spans="1:6" x14ac:dyDescent="0.25">
      <c r="A51" t="s">
        <v>119</v>
      </c>
      <c r="B51" s="8"/>
      <c r="C51" s="8">
        <f>B7*Assumptions!$B$14</f>
        <v>3900</v>
      </c>
      <c r="D51" s="26">
        <f t="shared" si="1"/>
        <v>3900</v>
      </c>
      <c r="E51" s="8" t="str">
        <f t="shared" si="0"/>
        <v/>
      </c>
      <c r="F51" s="2" t="s">
        <v>116</v>
      </c>
    </row>
    <row r="52" spans="1:6" x14ac:dyDescent="0.25">
      <c r="A52" s="22" t="s">
        <v>120</v>
      </c>
      <c r="B52" s="24">
        <f>B40-B22*B25</f>
        <v>135230.31712756463</v>
      </c>
      <c r="C52" s="24">
        <f>SUM(C44:C51)</f>
        <v>139198.45600000001</v>
      </c>
      <c r="D52" s="24">
        <f>SUM(D44:D51)</f>
        <v>139198.45600000001</v>
      </c>
      <c r="E52" s="24">
        <f t="shared" si="0"/>
        <v>3968.1388724353747</v>
      </c>
      <c r="F52" s="2" t="s">
        <v>121</v>
      </c>
    </row>
    <row r="53" spans="1:6" x14ac:dyDescent="0.25">
      <c r="A53" t="s">
        <v>122</v>
      </c>
      <c r="B53" s="8">
        <f>IFERROR(B52/B7,"")</f>
        <v>10402.332086735742</v>
      </c>
      <c r="C53" s="8">
        <f>IFERROR(C52/B7,"")</f>
        <v>10707.573538461538</v>
      </c>
      <c r="D53" s="8">
        <f>IFERROR(D52/B7,"")</f>
        <v>10707.573538461538</v>
      </c>
    </row>
    <row r="54" spans="1:6" x14ac:dyDescent="0.25">
      <c r="A54" t="s">
        <v>123</v>
      </c>
      <c r="B54" s="18">
        <f>IFERROR(B52/B40,"")</f>
        <v>0.34011237113402054</v>
      </c>
      <c r="C54" s="18">
        <f>IFERROR(C52/C40,"")</f>
        <v>0.35009749518560307</v>
      </c>
      <c r="D54" s="18">
        <f>IF(C36&gt;0,IFERROR(D52/C40,""),"")</f>
        <v>0.35009749518560307</v>
      </c>
    </row>
    <row r="55" spans="1:6" x14ac:dyDescent="0.25">
      <c r="A55" s="22" t="s">
        <v>124</v>
      </c>
      <c r="B55" s="12" t="str">
        <f>IF(ISNUMBER(B52),IF(D52&gt;B52*(1+Assumptions!$B$24),"OM EXPENSES LIGHT","OM expenses reasonable"),"OM expenses not published")</f>
        <v>OM expenses reasonable</v>
      </c>
    </row>
    <row r="57" spans="1:6" x14ac:dyDescent="0.25">
      <c r="A57" s="13" t="s">
        <v>125</v>
      </c>
      <c r="B57" s="14"/>
      <c r="C57" s="14"/>
      <c r="D57" s="14"/>
      <c r="E57" s="14"/>
      <c r="F57" s="14"/>
    </row>
    <row r="58" spans="1:6" x14ac:dyDescent="0.25">
      <c r="A58" s="25"/>
      <c r="B58" s="25" t="s">
        <v>91</v>
      </c>
      <c r="C58" s="25" t="s">
        <v>92</v>
      </c>
      <c r="D58" s="25"/>
      <c r="E58" s="25"/>
      <c r="F58" s="25" t="s">
        <v>93</v>
      </c>
    </row>
    <row r="59" spans="1:6" x14ac:dyDescent="0.25">
      <c r="A59" s="22" t="s">
        <v>126</v>
      </c>
      <c r="B59" s="24">
        <f>B40-B52</f>
        <v>262374.5</v>
      </c>
      <c r="C59" s="24">
        <f>IF(C36&gt;0,C40-D52,"")</f>
        <v>258400.66399999999</v>
      </c>
    </row>
    <row r="60" spans="1:6" x14ac:dyDescent="0.25">
      <c r="A60" s="22" t="s">
        <v>127</v>
      </c>
      <c r="B60" s="18">
        <f>IFERROR(B59/B22,"")</f>
        <v>5.7099999999999998E-2</v>
      </c>
      <c r="C60" s="18">
        <f>IF(C59="","",IFERROR(C59/B22,""))</f>
        <v>5.623518258977149E-2</v>
      </c>
      <c r="F60" s="2" t="s">
        <v>128</v>
      </c>
    </row>
    <row r="61" spans="1:6" x14ac:dyDescent="0.25">
      <c r="A61" t="s">
        <v>129</v>
      </c>
      <c r="B61" s="19">
        <f>IFERROR(B22/B36,"")</f>
        <v>11.21</v>
      </c>
      <c r="C61" s="19">
        <f>IF(C36&gt;0,IFERROR(B22/C36,""),"")</f>
        <v>11.210160626110037</v>
      </c>
    </row>
    <row r="62" spans="1:6" x14ac:dyDescent="0.25">
      <c r="A62" t="s">
        <v>130</v>
      </c>
      <c r="B62" s="8">
        <f>IFERROR(B59/B7,"")</f>
        <v>20182.653846153848</v>
      </c>
      <c r="C62" s="8">
        <f>IF(C59="","",IFERROR(C59/B7,""))</f>
        <v>19876.974153846153</v>
      </c>
    </row>
    <row r="64" spans="1:6" x14ac:dyDescent="0.25">
      <c r="A64" s="13" t="s">
        <v>131</v>
      </c>
      <c r="B64" s="14"/>
      <c r="C64" s="14"/>
      <c r="D64" s="14"/>
      <c r="E64" s="14"/>
      <c r="F64" s="14"/>
    </row>
    <row r="65" spans="1:2" x14ac:dyDescent="0.25">
      <c r="A65" t="s">
        <v>132</v>
      </c>
      <c r="B65" s="8">
        <f>IFERROR(B22*Assumptions!$B$20,"")</f>
        <v>2757000</v>
      </c>
    </row>
    <row r="66" spans="1:2" x14ac:dyDescent="0.25">
      <c r="A66" t="s">
        <v>133</v>
      </c>
      <c r="B66" s="8">
        <f>IF(C59="","",IFERROR(PV(Assumptions!$B$22/12,Assumptions!$B$23*12,-C59/Assumptions!$B$21/12),""))</f>
        <v>2797828.438348575</v>
      </c>
    </row>
    <row r="67" spans="1:2" x14ac:dyDescent="0.25">
      <c r="A67" s="22" t="s">
        <v>134</v>
      </c>
      <c r="B67" s="8">
        <f>IFERROR(MIN(B65,B66),"")</f>
        <v>2757000</v>
      </c>
    </row>
    <row r="68" spans="1:2" x14ac:dyDescent="0.25">
      <c r="A68" t="s">
        <v>135</v>
      </c>
      <c r="B68" s="8">
        <f>IFERROR(B22-B67,"")</f>
        <v>1838000</v>
      </c>
    </row>
    <row r="69" spans="1:2" x14ac:dyDescent="0.25">
      <c r="A69" t="s">
        <v>136</v>
      </c>
      <c r="B69" s="8">
        <f>IFERROR(-PMT(Assumptions!$B$22/12,Assumptions!$B$23*12,B67)*12,"")</f>
        <v>203703.87858906738</v>
      </c>
    </row>
    <row r="70" spans="1:2" x14ac:dyDescent="0.25">
      <c r="A70" t="s">
        <v>137</v>
      </c>
      <c r="B70" s="19">
        <f>IFERROR(C59/B69,"")</f>
        <v>1.2685112614928293</v>
      </c>
    </row>
    <row r="71" spans="1:2" x14ac:dyDescent="0.25">
      <c r="A71" t="s">
        <v>138</v>
      </c>
      <c r="B71" s="8">
        <f>IFERROR(C59-B69,"")</f>
        <v>54696.785410932614</v>
      </c>
    </row>
    <row r="72" spans="1:2" x14ac:dyDescent="0.25">
      <c r="A72" t="s">
        <v>139</v>
      </c>
      <c r="B72" s="18">
        <f>IFERROR(B71/B68,"")</f>
        <v>2.9758860397678246E-2</v>
      </c>
    </row>
    <row r="74" spans="1:2" x14ac:dyDescent="0.25">
      <c r="A74" s="2" t="s">
        <v>140</v>
      </c>
    </row>
  </sheetData>
  <hyperlinks>
    <hyperlink ref="A3" r:id="rId1" xr:uid="{C6ACD7DB-3E3B-4144-A7CB-D35B190037BC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08 11825 National Blvd</vt:lpstr>
      <vt:lpstr>'08 11825 National Blvd'!Print_Area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2026-09-17T19:25:06Z</dcterms:created>
  <dcterms:modified xsi:type="dcterms:W3CDTF">2026-09-17T19:25:09Z</dcterms:modified>
</cp:coreProperties>
</file>