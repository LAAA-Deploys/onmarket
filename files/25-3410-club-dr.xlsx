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F596ADBE-111A-4B05-97E3-2582EDDF7192}" xr6:coauthVersionLast="47" xr6:coauthVersionMax="47" xr10:uidLastSave="{00000000-0000-0000-0000-000000000000}"/>
  <bookViews>
    <workbookView xWindow="-120" yWindow="-120" windowWidth="29040" windowHeight="15720" activeTab="1" xr2:uid="{6C315D2E-6250-4A83-8254-09EA98B0596D}"/>
  </bookViews>
  <sheets>
    <sheet name="Assumptions" sheetId="1" r:id="rId1"/>
    <sheet name="25 3410 Club Dr" sheetId="2" r:id="rId2"/>
  </sheets>
  <definedNames>
    <definedName name="_xlnm.Print_Area" localSheetId="1">'25 3410 Club Dr'!$A$1:$N$80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D33" i="2"/>
  <c r="C33" i="2" s="1"/>
  <c r="B33" i="2"/>
  <c r="E32" i="2"/>
  <c r="D32" i="2"/>
  <c r="D31" i="2"/>
  <c r="E31" i="2" s="1"/>
  <c r="D30" i="2"/>
  <c r="E30" i="2" s="1"/>
  <c r="E33" i="2" s="1"/>
  <c r="C37" i="2" s="1"/>
  <c r="B24" i="2"/>
  <c r="B23" i="2"/>
  <c r="C39" i="2" l="1"/>
  <c r="C40" i="2"/>
  <c r="C62" i="2"/>
  <c r="B53" i="2"/>
  <c r="B60" i="2"/>
  <c r="B61" i="2" l="1"/>
  <c r="B63" i="2"/>
  <c r="B55" i="2"/>
  <c r="B54" i="2"/>
  <c r="C41" i="2"/>
  <c r="C47" i="2" l="1"/>
  <c r="D47" i="2" l="1"/>
  <c r="D53" i="2" s="1"/>
  <c r="C53" i="2"/>
  <c r="C54" i="2" l="1"/>
  <c r="C55" i="2"/>
  <c r="D54" i="2"/>
  <c r="D55" i="2"/>
  <c r="B56" i="2"/>
  <c r="E53" i="2"/>
  <c r="C60" i="2"/>
  <c r="C61" i="2" l="1"/>
  <c r="C63" i="2"/>
  <c r="B67" i="2"/>
  <c r="B68" i="2" s="1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<sst xmlns="http://schemas.openxmlformats.org/spreadsheetml/2006/main" count="151" uniqueCount="141">
  <si>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</si>
  <si>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</si>
  <si>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</si>
  <si>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</si>
  <si>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</si>
  <si>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</si>
  <si>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</si>
  <si>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</si>
  <si>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</si>
  <si>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</si>
  <si>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</si>
  <si>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</si>
  <si>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</si>
  <si>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</si>
  <si>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</si>
  <si>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</si>
  <si>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</si>
  <si>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</si>
  <si>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</si>
  <si>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</si>
  <si>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</si>
  <si>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</si>
  <si>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</si>
  <si>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</si>
  <si>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</si>
  <si>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</si>
  <si>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</si>
  <si>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</si>
  <si>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</si>
  <si>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</si>
  <si>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</si>
  <si>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</si>
  <si>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</si>
  <si>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</si>
  <si>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</si>
  <si>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</si>
  <si>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</si>
  <si>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</si>
  <si>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</si>
  <si>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</si>
  <si>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</si>
  <si>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</si>
  <si>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</si>
  <si>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</si>
  <si>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</si>
  <si>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</si>
  <si>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</si>
  <si>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3410 Club Dr</t>
  </si>
  <si>
    <t>Los Angeles, CA 90064  |  West LA / Rancho Park</t>
  </si>
  <si>
    <t>LoopNet listing</t>
  </si>
  <si>
    <t>Data pulled 9/17/2026 from LoopNet public listing</t>
  </si>
  <si>
    <t>NOTE: New listing 9/10/26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</si>
  <si>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</si>
  <si>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</si>
  <si>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</si>
  <si>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</si>
  <si>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</si>
  <si>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</si>
  <si>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</si>
  <si>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</si>
  <si>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</si>
  <si>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R2 Uses, Apartment Houses, Multiple Dwellings, Child Care (20 max)</t>
  </si>
  <si>
    <t>Occupancy per listing</t>
  </si>
  <si>
    <t>100%</t>
  </si>
  <si>
    <t>APN</t>
  </si>
  <si>
    <t>4316-031-014</t>
  </si>
  <si>
    <t>Assessed value (current)</t>
  </si>
  <si>
    <t>Listing broker(s)</t>
  </si>
  <si>
    <t>Linda Light, Taylor Light</t>
  </si>
  <si>
    <t>Date on market</t>
  </si>
  <si>
    <t>9/10/2026</t>
  </si>
  <si>
    <t>Listing last updated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</si>
  <si>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</si>
  <si>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</si>
  <si>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</si>
  <si>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</si>
  <si>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</si>
  <si>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</si>
  <si>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</si>
  <si>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</si>
  <si>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</si>
  <si>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</si>
  <si>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</si>
  <si>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</si>
  <si>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</si>
  <si>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</si>
  <si>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LoopNet published avg rent by unit type</t>
  </si>
  <si>
    <t>2 Bd / 1 Ba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</si>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</sst>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F15F3EA-5DF2-4DC4-B56E-19BAABD8652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410-Club-Dr-Los-Angeles-CA/421242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3D25-6E47-4FDC-9C03-66DFB2FD4CA6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BD4C-695D-4445-949D-4E6247777F69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17</v>
      </c>
    </row>
    <row r="8" spans="1:3" x14ac:dyDescent="0.25">
      <c r="A8" t="s">
        <v>54</v>
      </c>
      <c r="B8" s="15">
        <v>13506</v>
      </c>
    </row>
    <row r="9" spans="1:3" x14ac:dyDescent="0.25">
      <c r="A9" t="s">
        <v>55</v>
      </c>
      <c r="B9" s="15">
        <v>14375</v>
      </c>
    </row>
    <row r="10" spans="1:3" x14ac:dyDescent="0.25">
      <c r="A10" t="s">
        <v>56</v>
      </c>
      <c r="B10" s="16">
        <v>0.33</v>
      </c>
    </row>
    <row r="11" spans="1:3" x14ac:dyDescent="0.25">
      <c r="A11" t="s">
        <v>57</v>
      </c>
      <c r="B11">
        <v>1957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2622357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70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6695000</v>
      </c>
    </row>
    <row r="23" spans="1:6" x14ac:dyDescent="0.25">
      <c r="A23" t="s">
        <v>74</v>
      </c>
      <c r="B23" s="8">
        <f>IFERROR(B22/B7,"")</f>
        <v>393823.5294117647</v>
      </c>
    </row>
    <row r="24" spans="1:6" x14ac:dyDescent="0.25">
      <c r="A24" t="s">
        <v>75</v>
      </c>
      <c r="B24" s="17">
        <f>IFERROR(B22/B8,"")</f>
        <v>495.70561232045014</v>
      </c>
    </row>
    <row r="25" spans="1:6" x14ac:dyDescent="0.25">
      <c r="A25" t="s">
        <v>76</v>
      </c>
      <c r="B25" s="18">
        <v>4.8000000000000001E-2</v>
      </c>
    </row>
    <row r="26" spans="1:6" x14ac:dyDescent="0.25">
      <c r="A26" t="s">
        <v>77</v>
      </c>
      <c r="B26" s="19">
        <v>12.8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4</v>
      </c>
      <c r="C30" s="4">
        <v>1861</v>
      </c>
      <c r="D30" s="8">
        <f>B30*C30</f>
        <v>7444</v>
      </c>
      <c r="E30" s="8">
        <f>D30*12</f>
        <v>89328</v>
      </c>
      <c r="F30" s="2" t="s">
        <v>86</v>
      </c>
    </row>
    <row r="31" spans="1:6" x14ac:dyDescent="0.25">
      <c r="A31" t="s">
        <v>87</v>
      </c>
      <c r="B31" s="15">
        <v>9</v>
      </c>
      <c r="C31" s="4">
        <v>2758</v>
      </c>
      <c r="D31" s="8">
        <f>B31*C31</f>
        <v>24822</v>
      </c>
      <c r="E31" s="8">
        <f>D31*12</f>
        <v>297864</v>
      </c>
      <c r="F31" s="2" t="s">
        <v>86</v>
      </c>
    </row>
    <row r="32" spans="1:6" x14ac:dyDescent="0.25">
      <c r="A32" t="s">
        <v>88</v>
      </c>
      <c r="B32" s="15">
        <v>4</v>
      </c>
      <c r="C32" s="4">
        <v>2610</v>
      </c>
      <c r="D32" s="8">
        <f>B32*C32</f>
        <v>10440</v>
      </c>
      <c r="E32" s="8">
        <f>D32*12</f>
        <v>125280</v>
      </c>
      <c r="F32" s="2" t="s">
        <v>86</v>
      </c>
    </row>
    <row r="33" spans="1:6" x14ac:dyDescent="0.25">
      <c r="A33" s="21" t="s">
        <v>89</v>
      </c>
      <c r="B33" s="22">
        <f>SUM(B30:B32)</f>
        <v>17</v>
      </c>
      <c r="C33" s="23">
        <f>IFERROR(D33/B33,"")</f>
        <v>2512.1176470588234</v>
      </c>
      <c r="D33" s="23">
        <f>SUM(D30:D32)</f>
        <v>42706</v>
      </c>
      <c r="E33" s="23">
        <f>SUM(E30:E32)</f>
        <v>512472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4"/>
      <c r="B36" s="24" t="s">
        <v>91</v>
      </c>
      <c r="C36" s="24" t="s">
        <v>92</v>
      </c>
      <c r="D36" s="24"/>
      <c r="E36" s="24"/>
      <c r="F36" s="24" t="s">
        <v>93</v>
      </c>
    </row>
    <row r="37" spans="1:6" x14ac:dyDescent="0.25">
      <c r="A37" t="s">
        <v>94</v>
      </c>
      <c r="B37" s="8">
        <v>523046.875</v>
      </c>
      <c r="C37" s="8">
        <f>E33</f>
        <v>512472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1" t="s">
        <v>97</v>
      </c>
      <c r="B39" s="8">
        <f>B37+B38</f>
        <v>523046.875</v>
      </c>
      <c r="C39" s="8">
        <f>C37+C38</f>
        <v>512472</v>
      </c>
    </row>
    <row r="40" spans="1:6" x14ac:dyDescent="0.25">
      <c r="A40" t="s">
        <v>98</v>
      </c>
      <c r="B40" s="8">
        <f>-B37*0.03</f>
        <v>-15691.40625</v>
      </c>
      <c r="C40" s="8">
        <f>-C37*Assumptions!$B$3</f>
        <v>-15374.16</v>
      </c>
      <c r="F40" s="2" t="s">
        <v>99</v>
      </c>
    </row>
    <row r="41" spans="1:6" x14ac:dyDescent="0.25">
      <c r="A41" s="21" t="s">
        <v>100</v>
      </c>
      <c r="B41" s="23">
        <f>B39+B40</f>
        <v>507355.46875</v>
      </c>
      <c r="C41" s="23">
        <f>C39+C40</f>
        <v>497097.84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4" t="s">
        <v>102</v>
      </c>
      <c r="B44" s="24" t="s">
        <v>91</v>
      </c>
      <c r="C44" s="24" t="s">
        <v>103</v>
      </c>
      <c r="D44" s="24" t="s">
        <v>92</v>
      </c>
      <c r="E44" s="24" t="s">
        <v>104</v>
      </c>
      <c r="F44" s="24" t="s">
        <v>93</v>
      </c>
    </row>
    <row r="45" spans="1:6" x14ac:dyDescent="0.25">
      <c r="A45" t="s">
        <v>105</v>
      </c>
      <c r="B45" s="8"/>
      <c r="C45" s="8">
        <f>B22*Assumptions!$B$15</f>
        <v>83687.5</v>
      </c>
      <c r="D45" s="25">
        <f>C45</f>
        <v>83687.5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16906</v>
      </c>
      <c r="D46" s="25">
        <f t="shared" ref="D46:D52" si="1">IF(ISNUMBER(B46),MAX(B46,C46),C46)</f>
        <v>16906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24854.892000000003</v>
      </c>
      <c r="D47" s="25">
        <f t="shared" si="1"/>
        <v>24854.892000000003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20400</v>
      </c>
      <c r="D48" s="25">
        <f t="shared" si="1"/>
        <v>20400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25500</v>
      </c>
      <c r="D49" s="25">
        <f t="shared" si="1"/>
        <v>25500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6800</v>
      </c>
      <c r="D50" s="25">
        <f t="shared" si="1"/>
        <v>6800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4250</v>
      </c>
      <c r="D51" s="25">
        <f t="shared" si="1"/>
        <v>4250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5100</v>
      </c>
      <c r="D52" s="25">
        <f t="shared" si="1"/>
        <v>5100</v>
      </c>
      <c r="E52" s="8" t="str">
        <f t="shared" si="0"/>
        <v/>
      </c>
      <c r="F52" s="2" t="s">
        <v>116</v>
      </c>
    </row>
    <row r="53" spans="1:6" x14ac:dyDescent="0.25">
      <c r="A53" s="21" t="s">
        <v>120</v>
      </c>
      <c r="B53" s="23">
        <f>B41-B22*B25</f>
        <v>185995.46875</v>
      </c>
      <c r="C53" s="23">
        <f>SUM(C45:C52)</f>
        <v>187498.39199999999</v>
      </c>
      <c r="D53" s="23">
        <f>SUM(D45:D52)</f>
        <v>187498.39199999999</v>
      </c>
      <c r="E53" s="23">
        <f t="shared" si="0"/>
        <v>1502.9232499999925</v>
      </c>
      <c r="F53" s="2" t="s">
        <v>121</v>
      </c>
    </row>
    <row r="54" spans="1:6" x14ac:dyDescent="0.25">
      <c r="A54" t="s">
        <v>122</v>
      </c>
      <c r="B54" s="8">
        <f>IFERROR(B53/B7,"")</f>
        <v>10940.909926470587</v>
      </c>
      <c r="C54" s="8">
        <f>IFERROR(C53/B7,"")</f>
        <v>11029.317176470588</v>
      </c>
      <c r="D54" s="8">
        <f>IFERROR(D53/B7,"")</f>
        <v>11029.317176470588</v>
      </c>
    </row>
    <row r="55" spans="1:6" x14ac:dyDescent="0.25">
      <c r="A55" t="s">
        <v>123</v>
      </c>
      <c r="B55" s="18">
        <f>IFERROR(B53/B41,"")</f>
        <v>0.36659793814432989</v>
      </c>
      <c r="C55" s="18">
        <f>IFERROR(C53/C41,"")</f>
        <v>0.37718609278205673</v>
      </c>
      <c r="D55" s="18">
        <f>IF(C37&gt;0,IFERROR(D53/C41,""),"")</f>
        <v>0.37718609278205673</v>
      </c>
    </row>
    <row r="56" spans="1:6" x14ac:dyDescent="0.25">
      <c r="A56" s="21" t="s">
        <v>124</v>
      </c>
      <c r="B56" s="12" t="str">
        <f>IF(ISNUMBER(B53),IF(D53&gt;B53*(1+Assumptions!$B$24),"OM EXPENSES LIGHT","OM expenses reasonable"),"OM expenses not published")</f>
        <v>OM expenses reasonable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4"/>
      <c r="B59" s="24" t="s">
        <v>91</v>
      </c>
      <c r="C59" s="24" t="s">
        <v>92</v>
      </c>
      <c r="D59" s="24"/>
      <c r="E59" s="24"/>
      <c r="F59" s="24" t="s">
        <v>93</v>
      </c>
    </row>
    <row r="60" spans="1:6" x14ac:dyDescent="0.25">
      <c r="A60" s="21" t="s">
        <v>126</v>
      </c>
      <c r="B60" s="23">
        <f>B41-B53</f>
        <v>321360</v>
      </c>
      <c r="C60" s="23">
        <f>IF(C37&gt;0,C41-D53,"")</f>
        <v>309599.44800000003</v>
      </c>
    </row>
    <row r="61" spans="1:6" x14ac:dyDescent="0.25">
      <c r="A61" s="21" t="s">
        <v>127</v>
      </c>
      <c r="B61" s="18">
        <f>IFERROR(B60/B22,"")</f>
        <v>4.8000000000000001E-2</v>
      </c>
      <c r="C61" s="18">
        <f>IF(C60="","",IFERROR(C60/B22,""))</f>
        <v>4.6243382823002242E-2</v>
      </c>
      <c r="F61" s="2" t="s">
        <v>128</v>
      </c>
    </row>
    <row r="62" spans="1:6" x14ac:dyDescent="0.25">
      <c r="A62" t="s">
        <v>129</v>
      </c>
      <c r="B62" s="19">
        <f>IFERROR(B22/B37,"")</f>
        <v>12.8</v>
      </c>
      <c r="C62" s="19">
        <f>IF(C37&gt;0,IFERROR(B22/C37,""),"")</f>
        <v>13.064128381648167</v>
      </c>
    </row>
    <row r="63" spans="1:6" x14ac:dyDescent="0.25">
      <c r="A63" t="s">
        <v>130</v>
      </c>
      <c r="B63" s="8">
        <f>IFERROR(B60/B7,"")</f>
        <v>18903.529411764706</v>
      </c>
      <c r="C63" s="8">
        <f>IF(C60="","",IFERROR(C60/B7,""))</f>
        <v>18211.732235294119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4017000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3352182.3307366618</v>
      </c>
    </row>
    <row r="68" spans="1:6" x14ac:dyDescent="0.25">
      <c r="A68" s="21" t="s">
        <v>134</v>
      </c>
      <c r="B68" s="8">
        <f>IFERROR(MIN(B66,B67),"")</f>
        <v>3352182.3307366618</v>
      </c>
    </row>
    <row r="69" spans="1:6" x14ac:dyDescent="0.25">
      <c r="A69" t="s">
        <v>135</v>
      </c>
      <c r="B69" s="8">
        <f>IFERROR(B22-B68,"")</f>
        <v>3342817.6692633382</v>
      </c>
    </row>
    <row r="70" spans="1:6" x14ac:dyDescent="0.25">
      <c r="A70" t="s">
        <v>136</v>
      </c>
      <c r="B70" s="8">
        <f>IFERROR(-PMT(Assumptions!$B$22/12,Assumptions!$B$23*12,B68)*12,"")</f>
        <v>247679.55839999922</v>
      </c>
    </row>
    <row r="71" spans="1:6" x14ac:dyDescent="0.25">
      <c r="A71" t="s">
        <v>137</v>
      </c>
      <c r="B71" s="19">
        <f>IFERROR(C60/B70,"")</f>
        <v>1.250000000000004</v>
      </c>
    </row>
    <row r="72" spans="1:6" x14ac:dyDescent="0.25">
      <c r="A72" t="s">
        <v>138</v>
      </c>
      <c r="B72" s="8">
        <f>IFERROR(C60-B70,"")</f>
        <v>61919.88960000081</v>
      </c>
    </row>
    <row r="73" spans="1:6" x14ac:dyDescent="0.25">
      <c r="A73" t="s">
        <v>139</v>
      </c>
      <c r="B73" s="18">
        <f>IFERROR(B72/B69,"")</f>
        <v>1.8523262626419644E-2</v>
      </c>
    </row>
    <row r="75" spans="1:6" x14ac:dyDescent="0.25">
      <c r="A75" s="2" t="s">
        <v>140</v>
      </c>
    </row>
  </sheetData>
  <hyperlinks>
    <hyperlink ref="A3" r:id="rId1" xr:uid="{AB2AD96A-B7C0-451C-9C53-ECA5EE64D59C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25 3410 Club Dr</vt:lpstr>
      <vt:lpstr>'25 3410 Club Dr'!Print_Area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2026-09-17T18:57:05Z</dcterms:created>
  <dcterms:modified xsi:type="dcterms:W3CDTF">2026-09-17T18:57:08Z</dcterms:modified>
</cp:coreProperties>
</file>