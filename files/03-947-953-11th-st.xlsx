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93D6BE28-8CD9-42FE-8D18-22C275D06059}" xr6:coauthVersionLast="47" xr6:coauthVersionMax="47" xr10:uidLastSave="{00000000-0000-0000-0000-000000000000}"/>
  <bookViews>
    <workbookView xWindow="-120" yWindow="-120" windowWidth="29040" windowHeight="15720" activeTab="1" xr2:uid="{26B3E24F-726B-438B-AD7A-01605760F0D5}"/>
  </bookViews>
  <sheets>
    <sheet name="Assumptions" sheetId="1" r:id="rId1"/>
    <sheet name="03 947-953 11th 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B54" i="2"/>
  <c r="E53" i="2"/>
  <c r="C53" i="2"/>
  <c r="D53" i="2" s="1"/>
  <c r="C52" i="2"/>
  <c r="D52" i="2" s="1"/>
  <c r="E52" i="2" s="1"/>
  <c r="C51" i="2"/>
  <c r="D51" i="2" s="1"/>
  <c r="E51" i="2" s="1"/>
  <c r="D50" i="2"/>
  <c r="E50" i="2" s="1"/>
  <c r="C50" i="2"/>
  <c r="C49" i="2"/>
  <c r="D49" i="2" s="1"/>
  <c r="E49" i="2" s="1"/>
  <c r="C47" i="2"/>
  <c r="D47" i="2" s="1"/>
  <c r="E47" i="2" s="1"/>
  <c r="D46" i="2"/>
  <c r="C46" i="2"/>
  <c r="B41" i="2"/>
  <c r="B40" i="2"/>
  <c r="B42" i="2" s="1"/>
  <c r="B61" i="2" s="1"/>
  <c r="D34" i="2"/>
  <c r="C34" i="2" s="1"/>
  <c r="B34" i="2"/>
  <c r="D33" i="2"/>
  <c r="E33" i="2" s="1"/>
  <c r="D32" i="2"/>
  <c r="E32" i="2" s="1"/>
  <c r="D31" i="2"/>
  <c r="E31" i="2" s="1"/>
  <c r="E30" i="2"/>
  <c r="E34" i="2" s="1"/>
  <c r="C38" i="2" s="1"/>
  <c r="D30" i="2"/>
  <c r="B24" i="2"/>
  <c r="B23" i="2"/>
  <c r="C41" i="2" l="1"/>
  <c r="C40" i="2"/>
  <c r="C42" i="2" s="1"/>
  <c r="C48" i="2" s="1"/>
  <c r="D48" i="2" s="1"/>
  <c r="E48" i="2" s="1"/>
  <c r="C63" i="2"/>
  <c r="B62" i="2"/>
  <c r="B64" i="2"/>
  <c r="C54" i="2"/>
  <c r="B55" i="2"/>
  <c r="B56" i="2"/>
  <c r="E46" i="2"/>
  <c r="C56" i="2" l="1"/>
  <c r="C55" i="2"/>
  <c r="D54" i="2"/>
  <c r="D55" i="2" l="1"/>
  <c r="E54" i="2"/>
  <c r="D56" i="2"/>
  <c r="B57" i="2"/>
  <c r="C61" i="2"/>
  <c r="C62" i="2" l="1"/>
  <c r="B68" i="2"/>
  <c r="B69" i="2" s="1"/>
  <c r="C64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<sst xmlns="http://schemas.openxmlformats.org/spreadsheetml/2006/main" count="154" uniqueCount="144">
  <si>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</si>
  <si>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</si>
  <si>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</si>
  <si>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</si>
  <si>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</si>
  <si>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</si>
  <si>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</si>
  <si>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</si>
  <si>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</si>
  <si>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</si>
  <si>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</si>
  <si>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</si>
  <si>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</si>
  <si>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</si>
  <si>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</si>
  <si>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</si>
  <si>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</si>
  <si>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</si>
  <si>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</si>
  <si>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</si>
  <si>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</si>
  <si>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</si>
  <si>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</si>
  <si>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</si>
  <si>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</si>
  <si>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</si>
  <si>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</si>
  <si>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</si>
  <si>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</si>
  <si>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</si>
  <si>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</si>
  <si>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</si>
  <si>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</si>
  <si>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</si>
  <si>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</si>
  <si>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</si>
  <si>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</si>
  <si>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</si>
  <si>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</si>
  <si>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</si>
  <si>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</si>
  <si>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</si>
  <si>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</si>
  <si>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</si>
  <si>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</si>
  <si>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</si>
  <si>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</si>
  <si>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947-953 11th St (Voss Apartments)</t>
  </si>
  <si>
    <t>Santa Monica, CA 90403  |  Santa Monica</t>
  </si>
  <si>
    <t>LoopNet listing</t>
  </si>
  <si>
    <t>Data pulled 9/17/2026 from LoopNet public listing + rent roll and expenses read from the listing broker's OM (Equity Union Commercial (The Appel Group), Eliyahu Appel, undated, sale comps through May 2026)</t>
  </si>
  <si>
    <t>NOTE: 80% occupied per LoopNet | OM: Mills Act: existing recorded Mills Act contract; OM carries property taxes at $36,816 (current bill approx $36,000) on the assumption the contract transfers to the buyer with no reassessment at the $8.5M price. A standard 1.2% reassessment would be approx $102,000. Verify the contract terms and pres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</si>
  <si>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</si>
  <si>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</si>
  <si>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</si>
  <si>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</si>
  <si>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</si>
  <si>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</si>
  <si>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</si>
  <si>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</si>
  <si>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</si>
  <si>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SMR2*</t>
  </si>
  <si>
    <t>Occupancy per listing</t>
  </si>
  <si>
    <t>80%</t>
  </si>
  <si>
    <t>APN</t>
  </si>
  <si>
    <t>Multiple</t>
  </si>
  <si>
    <t>Assessed value (current)</t>
  </si>
  <si>
    <t>Listing broker(s)</t>
  </si>
  <si>
    <t>Eli Appel</t>
  </si>
  <si>
    <t>Date on market</t>
  </si>
  <si>
    <t>9/4/2026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</si>
  <si>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</si>
  <si>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</si>
  <si>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</si>
  <si>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</si>
  <si>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</si>
  <si>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</si>
  <si>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</si>
  <si>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</si>
  <si>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</si>
  <si>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</si>
  <si>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</si>
  <si>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</si>
  <si>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</si>
  <si>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</si>
  <si>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</si>
  <si>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 Ba townhouse  [953 #3 townhouse with private yard; market $6,000]</t>
  </si>
  <si>
    <t>OM rent roll, current in-place rents (OM undated, sale comps through May 2026)</t>
  </si>
  <si>
    <t>2 Bd / 1 Ba  [range $973-$4,187 occupied; includes 1 vacant unit carried a]</t>
  </si>
  <si>
    <t>1 Bd / 1 Ba  [range $2,118-$3,960; market $4,000]</t>
  </si>
  <si>
    <t>Studio  [range $1,989-$2,868; market $3,000]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</si>
  <si>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</si>
  <si>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</si>
  <si>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</si>
  <si>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</si>
  <si>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</si>
  <si>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</si>
  <si>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OM stated current scheduled rent (OM undated, sale comps through May 2026); LAAA column: OM rent roll by unit type</t>
  </si>
  <si>
    <t>Other income (laundry, parking, RUBS)</t>
  </si>
  <si>
    <t>Gross scheduled income</t>
  </si>
  <si>
    <t>Vacancy &amp; credit loss</t>
  </si>
  <si>
    <t>OM 3.0%;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</si>
  <si>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</si>
  <si>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</si>
  <si>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</si>
  <si>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</si>
  <si>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</si>
  <si>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</si>
  <si>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</si>
  <si>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</si>
  <si>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</si>
  <si>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</si>
  <si>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</si>
  <si>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</si>
  <si>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</si>
  <si>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</si>
  <si>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city; OM utilities + water/sewer + gas/electric + trash combined</t>
  </si>
  <si>
    <t>Contract services (landscape, pest, cleaning)</t>
  </si>
  <si>
    <t>per unit</t>
  </si>
  <si>
    <t>Admin / legal / licenses / rent registration / other OM items</t>
  </si>
  <si>
    <t>OM other items: General &amp; Administrative 4,232</t>
  </si>
  <si>
    <t>Replacement reserves</t>
  </si>
  <si>
    <t>Total operating expenses</t>
  </si>
  <si>
    <t>OM line items from OM (OM undated, sale comps through May 2026); basis: OM 'Current' column of Annualized Operating Data (p.16); broker figures, not owner actuals. Taxes $36,816 = current bill under the existing recorded Mills Act contract (OM says approx $36,000), NOT a reassessment at the $8.5M price. Management = 4.0% of EGI. Utilities is a single combined line. Market column identical except management $30,019 (4% of market EGI).; OM total 100,498</t>
  </si>
  <si>
    <t>Expenses per unit</t>
  </si>
  <si>
    <t>Expenses as % of EGI</t>
  </si>
  <si>
    <t>OM expense test</t>
  </si>
  <si>
    <t>NOI &amp; RETURNS</t>
  </si>
  <si>
    <t>Net operating income</t>
  </si>
  <si>
    <t>OM states NOI 498,774 / cap 5.87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</si>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</sst>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\(\$#,##0\);&quot;-&quot;"/>
    <numFmt numFmtId="165" formatCode="\$#,##0.00"/>
    <numFmt numFmtId="166" formatCode="0.00&quot;x&quot;"/>
    <numFmt numFmtId="167" formatCode="&quot;$&quot;#,##0;\(&quot;$&quot;#,##0\);&quot;-&quot;"/>
  </numFmts>
  <fonts count="12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  <family val="2"/>
    </font>
    <font>
      <b/>
      <sz val="10"/>
      <color rgb="FFFFFFFF"/>
      <name val="Calibri"/>
    </font>
    <font>
      <i/>
      <sz val="9"/>
      <color rgb="FF595959"/>
      <name val="Calibri"/>
      <family val="2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2CC"/>
        <bgColor indexed="64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7" fontId="0" fillId="5" borderId="1" xfId="0" applyNumberFormat="1" applyFill="1" applyBorder="1"/>
    <xf numFmtId="167" fontId="0" fillId="0" borderId="0" xfId="0" applyNumberForma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164" fontId="10" fillId="0" borderId="0" xfId="0" applyNumberFormat="1" applyFont="1"/>
    <xf numFmtId="0" fontId="8" fillId="4" borderId="0" xfId="0" applyFont="1" applyFill="1"/>
    <xf numFmtId="164" fontId="0" fillId="6" borderId="0" xfId="0" applyNumberForma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63A888B-9CD0-465A-8C0F-42B87A3C429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947-953-11th-St-Santa-Monica-CA/4205585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AF4D-09FB-4554-8E7A-E8EBAA388E45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B0CD-8481-407E-A735-267058F38674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15</v>
      </c>
    </row>
    <row r="8" spans="1:3" x14ac:dyDescent="0.25">
      <c r="A8" t="s">
        <v>54</v>
      </c>
      <c r="B8" s="15">
        <v>11850</v>
      </c>
    </row>
    <row r="9" spans="1:3" x14ac:dyDescent="0.25">
      <c r="A9" t="s">
        <v>55</v>
      </c>
      <c r="B9" s="15">
        <v>14810</v>
      </c>
    </row>
    <row r="10" spans="1:3" x14ac:dyDescent="0.25">
      <c r="A10" t="s">
        <v>56</v>
      </c>
      <c r="B10" s="16">
        <v>0.34</v>
      </c>
    </row>
    <row r="11" spans="1:3" x14ac:dyDescent="0.25">
      <c r="A11" t="s">
        <v>57</v>
      </c>
      <c r="B11">
        <v>1937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2731000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8500000</v>
      </c>
    </row>
    <row r="23" spans="1:6" x14ac:dyDescent="0.25">
      <c r="A23" t="s">
        <v>75</v>
      </c>
      <c r="B23" s="8">
        <f>IFERROR(B22/B7,"")</f>
        <v>566666.66666666663</v>
      </c>
    </row>
    <row r="24" spans="1:6" x14ac:dyDescent="0.25">
      <c r="A24" t="s">
        <v>76</v>
      </c>
      <c r="B24" s="17">
        <f>IFERROR(B22/B8,"")</f>
        <v>717.29957805907168</v>
      </c>
    </row>
    <row r="25" spans="1:6" x14ac:dyDescent="0.25">
      <c r="A25" t="s">
        <v>77</v>
      </c>
      <c r="B25" s="18">
        <v>6.0400000000000002E-2</v>
      </c>
    </row>
    <row r="26" spans="1:6" x14ac:dyDescent="0.25">
      <c r="A26" t="s">
        <v>78</v>
      </c>
      <c r="B26" s="19">
        <v>13.77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1</v>
      </c>
      <c r="C30" s="21">
        <v>5080</v>
      </c>
      <c r="D30" s="22">
        <f>B30*C30</f>
        <v>5080</v>
      </c>
      <c r="E30" s="22">
        <f>D30*12</f>
        <v>60960</v>
      </c>
      <c r="F30" s="23" t="s">
        <v>87</v>
      </c>
    </row>
    <row r="31" spans="1:6" x14ac:dyDescent="0.25">
      <c r="A31" t="s">
        <v>88</v>
      </c>
      <c r="B31" s="15">
        <v>4</v>
      </c>
      <c r="C31" s="21">
        <v>3386</v>
      </c>
      <c r="D31" s="22">
        <f>B31*C31</f>
        <v>13544</v>
      </c>
      <c r="E31" s="22">
        <f>D31*12</f>
        <v>162528</v>
      </c>
      <c r="F31" s="23" t="s">
        <v>87</v>
      </c>
    </row>
    <row r="32" spans="1:6" x14ac:dyDescent="0.25">
      <c r="A32" t="s">
        <v>89</v>
      </c>
      <c r="B32" s="15">
        <v>6</v>
      </c>
      <c r="C32" s="21">
        <v>3373</v>
      </c>
      <c r="D32" s="22">
        <f>B32*C32</f>
        <v>20238</v>
      </c>
      <c r="E32" s="22">
        <f>D32*12</f>
        <v>242856</v>
      </c>
      <c r="F32" s="23" t="s">
        <v>87</v>
      </c>
    </row>
    <row r="33" spans="1:6" x14ac:dyDescent="0.25">
      <c r="A33" t="s">
        <v>90</v>
      </c>
      <c r="B33" s="15">
        <v>4</v>
      </c>
      <c r="C33" s="21">
        <v>2537</v>
      </c>
      <c r="D33" s="22">
        <f>B33*C33</f>
        <v>10148</v>
      </c>
      <c r="E33" s="22">
        <f>D33*12</f>
        <v>121776</v>
      </c>
      <c r="F33" s="23" t="s">
        <v>87</v>
      </c>
    </row>
    <row r="34" spans="1:6" x14ac:dyDescent="0.25">
      <c r="A34" s="24" t="s">
        <v>91</v>
      </c>
      <c r="B34" s="25">
        <f>SUM(B30:B33)</f>
        <v>15</v>
      </c>
      <c r="C34" s="26">
        <f>IFERROR(D34/B34,"")</f>
        <v>3267.3333333333335</v>
      </c>
      <c r="D34" s="26">
        <f>SUM(D30:D33)</f>
        <v>49010</v>
      </c>
      <c r="E34" s="26">
        <f>SUM(E30:E33)</f>
        <v>588120</v>
      </c>
    </row>
    <row r="36" spans="1:6" x14ac:dyDescent="0.25">
      <c r="A36" s="13" t="s">
        <v>92</v>
      </c>
      <c r="B36" s="14"/>
      <c r="C36" s="14"/>
      <c r="D36" s="14"/>
      <c r="E36" s="14"/>
      <c r="F36" s="14"/>
    </row>
    <row r="37" spans="1:6" x14ac:dyDescent="0.25">
      <c r="A37" s="27"/>
      <c r="B37" s="27" t="s">
        <v>93</v>
      </c>
      <c r="C37" s="27" t="s">
        <v>94</v>
      </c>
      <c r="D37" s="27"/>
      <c r="E37" s="27"/>
      <c r="F37" s="27" t="s">
        <v>95</v>
      </c>
    </row>
    <row r="38" spans="1:6" x14ac:dyDescent="0.25">
      <c r="A38" t="s">
        <v>96</v>
      </c>
      <c r="B38" s="22">
        <v>588114</v>
      </c>
      <c r="C38" s="8">
        <f>E34</f>
        <v>588120</v>
      </c>
      <c r="F38" s="2" t="s">
        <v>97</v>
      </c>
    </row>
    <row r="39" spans="1:6" x14ac:dyDescent="0.25">
      <c r="A39" t="s">
        <v>98</v>
      </c>
      <c r="B39" s="8">
        <v>29340</v>
      </c>
      <c r="C39" s="4">
        <v>29340</v>
      </c>
    </row>
    <row r="40" spans="1:6" x14ac:dyDescent="0.25">
      <c r="A40" s="24" t="s">
        <v>99</v>
      </c>
      <c r="B40" s="8">
        <f>B38+B39</f>
        <v>617454</v>
      </c>
      <c r="C40" s="8">
        <f>C38+C39</f>
        <v>617460</v>
      </c>
    </row>
    <row r="41" spans="1:6" x14ac:dyDescent="0.25">
      <c r="A41" t="s">
        <v>100</v>
      </c>
      <c r="B41" s="8">
        <f>-B38*0.03</f>
        <v>-17643.419999999998</v>
      </c>
      <c r="C41" s="8">
        <f>-C38*Assumptions!$B$3</f>
        <v>-17643.599999999999</v>
      </c>
      <c r="F41" s="2" t="s">
        <v>101</v>
      </c>
    </row>
    <row r="42" spans="1:6" x14ac:dyDescent="0.25">
      <c r="A42" s="24" t="s">
        <v>102</v>
      </c>
      <c r="B42" s="26">
        <f>B40+B41</f>
        <v>599810.57999999996</v>
      </c>
      <c r="C42" s="26">
        <f>C40+C41</f>
        <v>599816.4</v>
      </c>
    </row>
    <row r="44" spans="1:6" x14ac:dyDescent="0.25">
      <c r="A44" s="13" t="s">
        <v>103</v>
      </c>
      <c r="B44" s="14"/>
      <c r="C44" s="14"/>
      <c r="D44" s="14"/>
      <c r="E44" s="14"/>
      <c r="F44" s="14"/>
    </row>
    <row r="45" spans="1:6" x14ac:dyDescent="0.25">
      <c r="A45" s="27" t="s">
        <v>104</v>
      </c>
      <c r="B45" s="27" t="s">
        <v>93</v>
      </c>
      <c r="C45" s="27" t="s">
        <v>105</v>
      </c>
      <c r="D45" s="27" t="s">
        <v>94</v>
      </c>
      <c r="E45" s="27" t="s">
        <v>106</v>
      </c>
      <c r="F45" s="27" t="s">
        <v>95</v>
      </c>
    </row>
    <row r="46" spans="1:6" x14ac:dyDescent="0.25">
      <c r="A46" t="s">
        <v>107</v>
      </c>
      <c r="B46" s="22">
        <v>36816</v>
      </c>
      <c r="C46" s="8">
        <f>B22*Assumptions!$B$16</f>
        <v>97750</v>
      </c>
      <c r="D46" s="28">
        <f>C46</f>
        <v>97750</v>
      </c>
      <c r="E46" s="8">
        <f t="shared" ref="E46:E54" si="0">IF(ISNUMBER(B46),D46-B46,"")</f>
        <v>60934</v>
      </c>
      <c r="F46" s="2" t="s">
        <v>108</v>
      </c>
    </row>
    <row r="47" spans="1:6" x14ac:dyDescent="0.25">
      <c r="A47" t="s">
        <v>109</v>
      </c>
      <c r="B47" s="22">
        <v>14578</v>
      </c>
      <c r="C47" s="8">
        <f>B7*Assumptions!$B$5+B8*Assumptions!$B$6</f>
        <v>14850</v>
      </c>
      <c r="D47" s="28">
        <f t="shared" ref="D47:D53" si="1">IF(ISNUMBER(B47),MAX(B47,C47),C47)</f>
        <v>14850</v>
      </c>
      <c r="E47" s="8">
        <f t="shared" si="0"/>
        <v>272</v>
      </c>
      <c r="F47" s="2" t="s">
        <v>110</v>
      </c>
    </row>
    <row r="48" spans="1:6" x14ac:dyDescent="0.25">
      <c r="A48" t="s">
        <v>111</v>
      </c>
      <c r="B48" s="22">
        <v>23971</v>
      </c>
      <c r="C48" s="8">
        <f>C42*Assumptions!$B$4</f>
        <v>29990.820000000003</v>
      </c>
      <c r="D48" s="28">
        <f t="shared" si="1"/>
        <v>29990.820000000003</v>
      </c>
      <c r="E48" s="8">
        <f t="shared" si="0"/>
        <v>6019.8200000000033</v>
      </c>
      <c r="F48" s="2" t="s">
        <v>112</v>
      </c>
    </row>
    <row r="49" spans="1:6" x14ac:dyDescent="0.25">
      <c r="A49" t="s">
        <v>113</v>
      </c>
      <c r="B49" s="22">
        <v>6000</v>
      </c>
      <c r="C49" s="8">
        <f>B7*Assumptions!$B$7</f>
        <v>18000</v>
      </c>
      <c r="D49" s="28">
        <f t="shared" si="1"/>
        <v>18000</v>
      </c>
      <c r="E49" s="8">
        <f t="shared" si="0"/>
        <v>12000</v>
      </c>
      <c r="F49" s="2" t="s">
        <v>114</v>
      </c>
    </row>
    <row r="50" spans="1:6" x14ac:dyDescent="0.25">
      <c r="A50" t="s">
        <v>115</v>
      </c>
      <c r="B50" s="22">
        <v>12981</v>
      </c>
      <c r="C50" s="8">
        <f>B7*Assumptions!$B$10</f>
        <v>27000</v>
      </c>
      <c r="D50" s="28">
        <f t="shared" si="1"/>
        <v>27000</v>
      </c>
      <c r="E50" s="8">
        <f t="shared" si="0"/>
        <v>14019</v>
      </c>
      <c r="F50" s="2" t="s">
        <v>116</v>
      </c>
    </row>
    <row r="51" spans="1:6" x14ac:dyDescent="0.25">
      <c r="A51" t="s">
        <v>117</v>
      </c>
      <c r="B51" s="22">
        <v>1920</v>
      </c>
      <c r="C51" s="8">
        <f>B7*Assumptions!$B$12</f>
        <v>6000</v>
      </c>
      <c r="D51" s="28">
        <f t="shared" si="1"/>
        <v>6000</v>
      </c>
      <c r="E51" s="8">
        <f t="shared" si="0"/>
        <v>4080</v>
      </c>
      <c r="F51" s="2" t="s">
        <v>118</v>
      </c>
    </row>
    <row r="52" spans="1:6" x14ac:dyDescent="0.25">
      <c r="A52" t="s">
        <v>119</v>
      </c>
      <c r="B52" s="22">
        <v>4232</v>
      </c>
      <c r="C52" s="8">
        <f>B7*Assumptions!$B$13</f>
        <v>3750</v>
      </c>
      <c r="D52" s="28">
        <f t="shared" si="1"/>
        <v>4232</v>
      </c>
      <c r="E52" s="8">
        <f t="shared" si="0"/>
        <v>0</v>
      </c>
      <c r="F52" s="2" t="s">
        <v>120</v>
      </c>
    </row>
    <row r="53" spans="1:6" x14ac:dyDescent="0.25">
      <c r="A53" t="s">
        <v>121</v>
      </c>
      <c r="B53" s="22"/>
      <c r="C53" s="8">
        <f>B7*Assumptions!$B$14</f>
        <v>4500</v>
      </c>
      <c r="D53" s="28">
        <f t="shared" si="1"/>
        <v>4500</v>
      </c>
      <c r="E53" s="8" t="str">
        <f t="shared" si="0"/>
        <v/>
      </c>
      <c r="F53" s="2" t="s">
        <v>118</v>
      </c>
    </row>
    <row r="54" spans="1:6" x14ac:dyDescent="0.25">
      <c r="A54" s="24" t="s">
        <v>122</v>
      </c>
      <c r="B54" s="26">
        <f>SUM(B46:B53)</f>
        <v>100498</v>
      </c>
      <c r="C54" s="26">
        <f>SUM(C46:C53)</f>
        <v>201840.82</v>
      </c>
      <c r="D54" s="26">
        <f>SUM(D46:D53)</f>
        <v>202322.82</v>
      </c>
      <c r="E54" s="26">
        <f t="shared" si="0"/>
        <v>101824.82</v>
      </c>
      <c r="F54" s="2" t="s">
        <v>123</v>
      </c>
    </row>
    <row r="55" spans="1:6" x14ac:dyDescent="0.25">
      <c r="A55" t="s">
        <v>124</v>
      </c>
      <c r="B55" s="8">
        <f>IFERROR(B54/B7,"")</f>
        <v>6699.8666666666668</v>
      </c>
      <c r="C55" s="8">
        <f>IFERROR(C54/B7,"")</f>
        <v>13456.054666666667</v>
      </c>
      <c r="D55" s="8">
        <f>IFERROR(D54/B7,"")</f>
        <v>13488.188</v>
      </c>
    </row>
    <row r="56" spans="1:6" x14ac:dyDescent="0.25">
      <c r="A56" t="s">
        <v>125</v>
      </c>
      <c r="B56" s="18">
        <f>IFERROR(B54/B42,"")</f>
        <v>0.1675495620634101</v>
      </c>
      <c r="C56" s="18">
        <f>IFERROR(C54/C42,"")</f>
        <v>0.33650433699378679</v>
      </c>
      <c r="D56" s="18">
        <f>IF(C38&gt;0,IFERROR(D54/C42,""),"")</f>
        <v>0.33730791622236406</v>
      </c>
    </row>
    <row r="57" spans="1:6" x14ac:dyDescent="0.25">
      <c r="A57" s="24" t="s">
        <v>126</v>
      </c>
      <c r="B57" s="29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3" t="s">
        <v>127</v>
      </c>
      <c r="B59" s="14"/>
      <c r="C59" s="14"/>
      <c r="D59" s="14"/>
      <c r="E59" s="14"/>
      <c r="F59" s="14"/>
    </row>
    <row r="60" spans="1:6" x14ac:dyDescent="0.25">
      <c r="A60" s="27"/>
      <c r="B60" s="27" t="s">
        <v>93</v>
      </c>
      <c r="C60" s="27" t="s">
        <v>94</v>
      </c>
      <c r="D60" s="27"/>
      <c r="E60" s="27"/>
      <c r="F60" s="27" t="s">
        <v>95</v>
      </c>
    </row>
    <row r="61" spans="1:6" x14ac:dyDescent="0.25">
      <c r="A61" s="24" t="s">
        <v>128</v>
      </c>
      <c r="B61" s="26">
        <f>B42-B54</f>
        <v>499312.57999999996</v>
      </c>
      <c r="C61" s="26">
        <f>IF(C38&gt;0,C42-D54,"")</f>
        <v>397493.58</v>
      </c>
      <c r="F61" t="s">
        <v>129</v>
      </c>
    </row>
    <row r="62" spans="1:6" x14ac:dyDescent="0.25">
      <c r="A62" s="24" t="s">
        <v>130</v>
      </c>
      <c r="B62" s="18">
        <f>IFERROR(B61/B22,"")</f>
        <v>5.8742656470588232E-2</v>
      </c>
      <c r="C62" s="18">
        <f>IF(C61="","",IFERROR(C61/B22,""))</f>
        <v>4.6763950588235299E-2</v>
      </c>
      <c r="F62" s="2" t="s">
        <v>131</v>
      </c>
    </row>
    <row r="63" spans="1:6" x14ac:dyDescent="0.25">
      <c r="A63" t="s">
        <v>132</v>
      </c>
      <c r="B63" s="19">
        <f>IFERROR(B22/B38,"")</f>
        <v>14.452980204518171</v>
      </c>
      <c r="C63" s="19">
        <f>IF(C38&gt;0,IFERROR(B22/C38,""),"")</f>
        <v>14.452832755220022</v>
      </c>
    </row>
    <row r="64" spans="1:6" x14ac:dyDescent="0.25">
      <c r="A64" t="s">
        <v>133</v>
      </c>
      <c r="B64" s="8">
        <f>IFERROR(B61/B7,"")</f>
        <v>33287.505333333327</v>
      </c>
      <c r="C64" s="8">
        <f>IF(C61="","",IFERROR(C61/B7,""))</f>
        <v>26499.572</v>
      </c>
    </row>
    <row r="66" spans="1:6" x14ac:dyDescent="0.25">
      <c r="A66" s="13" t="s">
        <v>134</v>
      </c>
      <c r="B66" s="14"/>
      <c r="C66" s="14"/>
      <c r="D66" s="14"/>
      <c r="E66" s="14"/>
      <c r="F66" s="14"/>
    </row>
    <row r="67" spans="1:6" x14ac:dyDescent="0.25">
      <c r="A67" t="s">
        <v>135</v>
      </c>
      <c r="B67" s="8">
        <f>IFERROR(B22*Assumptions!$B$20,"")</f>
        <v>5100000</v>
      </c>
    </row>
    <row r="68" spans="1:6" x14ac:dyDescent="0.25">
      <c r="A68" t="s">
        <v>136</v>
      </c>
      <c r="B68" s="8">
        <f>IF(C61="","",IFERROR(PV(Assumptions!$B$22/12,Assumptions!$B$23*12,-C61/Assumptions!$B$21/12),""))</f>
        <v>4303854.4288918097</v>
      </c>
    </row>
    <row r="69" spans="1:6" x14ac:dyDescent="0.25">
      <c r="A69" s="24" t="s">
        <v>137</v>
      </c>
      <c r="B69" s="8">
        <f>IFERROR(MIN(B67,B68),"")</f>
        <v>4303854.4288918097</v>
      </c>
    </row>
    <row r="70" spans="1:6" x14ac:dyDescent="0.25">
      <c r="A70" t="s">
        <v>138</v>
      </c>
      <c r="B70" s="8">
        <f>IFERROR(B22-B69,"")</f>
        <v>4196145.5711081903</v>
      </c>
    </row>
    <row r="71" spans="1:6" x14ac:dyDescent="0.25">
      <c r="A71" t="s">
        <v>139</v>
      </c>
      <c r="B71" s="8">
        <f>IFERROR(-PMT(Assumptions!$B$22/12,Assumptions!$B$23*12,B69)*12,"")</f>
        <v>317994.86399999895</v>
      </c>
    </row>
    <row r="72" spans="1:6" x14ac:dyDescent="0.25">
      <c r="A72" t="s">
        <v>140</v>
      </c>
      <c r="B72" s="19">
        <f>IFERROR(C61/B71,"")</f>
        <v>1.2500000000000042</v>
      </c>
    </row>
    <row r="73" spans="1:6" x14ac:dyDescent="0.25">
      <c r="A73" t="s">
        <v>141</v>
      </c>
      <c r="B73" s="8">
        <f>IFERROR(C61-B71,"")</f>
        <v>79498.716000001063</v>
      </c>
    </row>
    <row r="74" spans="1:6" x14ac:dyDescent="0.25">
      <c r="A74" t="s">
        <v>142</v>
      </c>
      <c r="B74" s="18">
        <f>IFERROR(B73/B70,"")</f>
        <v>1.8945652540601845E-2</v>
      </c>
    </row>
    <row r="76" spans="1:6" x14ac:dyDescent="0.25">
      <c r="A76" s="2" t="s">
        <v>143</v>
      </c>
    </row>
  </sheetData>
  <hyperlinks>
    <hyperlink ref="A3" r:id="rId1" xr:uid="{8FE4F189-1C69-4E72-BF08-644CFBA9F958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03 947-953 11th 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2026-09-17T23:02:54Z</dcterms:created>
  <dcterms:modified xsi:type="dcterms:W3CDTF">2026-09-17T23:02:55Z</dcterms:modified>
</cp:coreProperties>
</file>