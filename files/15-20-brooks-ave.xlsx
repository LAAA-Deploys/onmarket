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1E16638-66D8-49F9-A9F0-3F75275C8C51}" xr6:coauthVersionLast="47" xr6:coauthVersionMax="47" xr10:uidLastSave="{00000000-0000-0000-0000-000000000000}"/>
  <bookViews>
    <workbookView xWindow="-120" yWindow="-120" windowWidth="29040" windowHeight="15720" activeTab="1" xr2:uid="{8BED6421-1767-4034-B6A5-3DFEB0AB31B8}"/>
  </bookViews>
  <sheets>
    <sheet name="Assumptions" sheetId="1" r:id="rId1"/>
    <sheet name="15 20 Brooks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D33" i="2"/>
  <c r="C33" i="2" s="1"/>
  <c r="C39" i="2" l="1"/>
  <c r="C40" i="2"/>
  <c r="C62" i="2"/>
  <c r="B61" i="2"/>
  <c r="B63" i="2"/>
  <c r="B55" i="2"/>
  <c r="B54" i="2"/>
  <c r="C41" i="2" l="1"/>
  <c r="C47" i="2" l="1"/>
  <c r="D47" i="2" l="1"/>
  <c r="D53" i="2" s="1"/>
  <c r="C53" i="2"/>
  <c r="C55" i="2" l="1"/>
  <c r="C54" i="2"/>
  <c r="D54" i="2"/>
  <c r="D55" i="2"/>
  <c r="B56" i="2"/>
  <c r="E53" i="2"/>
  <c r="C60" i="2"/>
  <c r="C61" i="2" l="1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<sst xmlns="http://schemas.openxmlformats.org/spreadsheetml/2006/main" count="150" uniqueCount="141">
  <si>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</si>
  <si>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</si>
  <si>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</si>
  <si>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</si>
  <si>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</si>
  <si>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</si>
  <si>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</si>
  <si>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</si>
  <si>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</si>
  <si>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</si>
  <si>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</si>
  <si>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</si>
  <si>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</si>
  <si>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</si>
  <si>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</si>
  <si>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</si>
  <si>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</si>
  <si>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</si>
  <si>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</si>
  <si>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</si>
  <si>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</si>
  <si>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</si>
  <si>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</si>
  <si>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</si>
  <si>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</si>
  <si>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</si>
  <si>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</si>
  <si>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</si>
  <si>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</si>
  <si>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</si>
  <si>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</si>
  <si>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</si>
  <si>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</si>
  <si>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</si>
  <si>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</si>
  <si>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</si>
  <si>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</si>
  <si>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</si>
  <si>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</si>
  <si>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</si>
  <si>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</si>
  <si>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</si>
  <si>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</si>
  <si>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</si>
  <si>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</si>
  <si>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</si>
  <si>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</si>
  <si>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 Brooks Ave</t>
  </si>
  <si>
    <t>Venice, CA 90291  |  Venice</t>
  </si>
  <si>
    <t>LoopNet listing</t>
  </si>
  <si>
    <t>Data pulled 9/17/2026 from LoopNet public listing</t>
  </si>
  <si>
    <t>NOTE: GRM 9.12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</si>
  <si>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</si>
  <si>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</si>
  <si>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</si>
  <si>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</si>
  <si>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</si>
  <si>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</si>
  <si>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</si>
  <si>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</si>
  <si>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</si>
  <si>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</t>
  </si>
  <si>
    <t>Occupancy per listing</t>
  </si>
  <si>
    <t>APN</t>
  </si>
  <si>
    <t>4286-026-003</t>
  </si>
  <si>
    <t>Assessed value (current)</t>
  </si>
  <si>
    <t>Listing broker(s)</t>
  </si>
  <si>
    <t>Kitty Wallace</t>
  </si>
  <si>
    <t>Date on market</t>
  </si>
  <si>
    <t>8/27/2025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</si>
  <si>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</si>
  <si>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</si>
  <si>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</si>
  <si>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</si>
  <si>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</si>
  <si>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</si>
  <si>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</si>
  <si>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</si>
  <si>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</si>
  <si>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</si>
  <si>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</si>
  <si>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</si>
  <si>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</si>
  <si>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</si>
  <si>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</si>
  <si>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</si>
  <si>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</si>
  <si>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  (~600 SF)</t>
  </si>
  <si>
    <t>2 Bd / 1 Ba  (~650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</si>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</sst>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6C8A7E2-BC8F-4054-99D4-A5C5AEDA464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-Brooks-Ave-Venice-CA/374459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8797-7066-41B0-87AF-2AF7EFC9118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AF66-B474-4705-9634-2AEFE53CB24F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11616</v>
      </c>
    </row>
    <row r="9" spans="1:3" x14ac:dyDescent="0.25">
      <c r="A9" t="s">
        <v>55</v>
      </c>
      <c r="B9" s="15">
        <v>6098</v>
      </c>
    </row>
    <row r="10" spans="1:3" x14ac:dyDescent="0.25">
      <c r="A10" t="s">
        <v>56</v>
      </c>
      <c r="B10" s="16">
        <v>0.14000000000000001</v>
      </c>
    </row>
    <row r="11" spans="1:3" x14ac:dyDescent="0.25">
      <c r="A11" t="s">
        <v>57</v>
      </c>
      <c r="B11">
        <v>1909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3323923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5600000</v>
      </c>
    </row>
    <row r="23" spans="1:6" x14ac:dyDescent="0.25">
      <c r="A23" t="s">
        <v>74</v>
      </c>
      <c r="B23" s="8">
        <f>IFERROR(B22/B7,"")</f>
        <v>311111.11111111112</v>
      </c>
    </row>
    <row r="24" spans="1:6" x14ac:dyDescent="0.25">
      <c r="A24" t="s">
        <v>75</v>
      </c>
      <c r="B24" s="17">
        <f>IFERROR(B22/B8,"")</f>
        <v>482.09366391184574</v>
      </c>
    </row>
    <row r="25" spans="1:6" x14ac:dyDescent="0.25">
      <c r="A25" t="s">
        <v>76</v>
      </c>
      <c r="B25" s="18">
        <v>5.4800000000000001E-2</v>
      </c>
    </row>
    <row r="26" spans="1:6" x14ac:dyDescent="0.25">
      <c r="A26" t="s">
        <v>77</v>
      </c>
      <c r="B26" s="19">
        <v>9.1199999999999992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9</v>
      </c>
      <c r="C30" s="21">
        <v>2239</v>
      </c>
      <c r="D30" s="8">
        <f>B30*C30</f>
        <v>20151</v>
      </c>
      <c r="E30" s="8">
        <f>D30*12</f>
        <v>241812</v>
      </c>
      <c r="F30" s="2" t="s">
        <v>86</v>
      </c>
    </row>
    <row r="31" spans="1:6" x14ac:dyDescent="0.25">
      <c r="A31" t="s">
        <v>87</v>
      </c>
      <c r="B31" s="15">
        <v>7</v>
      </c>
      <c r="C31" s="21">
        <v>3198</v>
      </c>
      <c r="D31" s="8">
        <f>B31*C31</f>
        <v>22386</v>
      </c>
      <c r="E31" s="8">
        <f>D31*12</f>
        <v>268632</v>
      </c>
      <c r="F31" s="2" t="s">
        <v>86</v>
      </c>
    </row>
    <row r="32" spans="1:6" x14ac:dyDescent="0.25">
      <c r="A32" t="s">
        <v>88</v>
      </c>
      <c r="B32" s="15">
        <v>2</v>
      </c>
      <c r="C32" s="21">
        <v>4317</v>
      </c>
      <c r="D32" s="8">
        <f>B32*C32</f>
        <v>8634</v>
      </c>
      <c r="E32" s="8">
        <f>D32*12</f>
        <v>103608</v>
      </c>
      <c r="F32" s="2" t="s">
        <v>86</v>
      </c>
    </row>
    <row r="33" spans="1:6" x14ac:dyDescent="0.25">
      <c r="A33" s="22" t="s">
        <v>89</v>
      </c>
      <c r="B33" s="23">
        <f>SUM(B30:B32)</f>
        <v>18</v>
      </c>
      <c r="C33" s="24">
        <f>IFERROR(D33/B33,"")</f>
        <v>2842.8333333333335</v>
      </c>
      <c r="D33" s="24">
        <f>SUM(D30:D32)</f>
        <v>51171</v>
      </c>
      <c r="E33" s="24">
        <f>SUM(E30:E32)</f>
        <v>614052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614035.08771929832</v>
      </c>
      <c r="C37" s="8">
        <f>E33</f>
        <v>614052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614035.08771929832</v>
      </c>
      <c r="C39" s="8">
        <f>C37+C38</f>
        <v>614052</v>
      </c>
    </row>
    <row r="40" spans="1:6" x14ac:dyDescent="0.25">
      <c r="A40" t="s">
        <v>98</v>
      </c>
      <c r="B40" s="8">
        <f>-B37*0.03</f>
        <v>-18421.05263157895</v>
      </c>
      <c r="C40" s="8">
        <f>-C37*Assumptions!$B$3</f>
        <v>-18421.559999999998</v>
      </c>
      <c r="F40" s="2" t="s">
        <v>99</v>
      </c>
    </row>
    <row r="41" spans="1:6" x14ac:dyDescent="0.25">
      <c r="A41" s="22" t="s">
        <v>100</v>
      </c>
      <c r="B41" s="24">
        <f>B39+B40</f>
        <v>595614.03508771933</v>
      </c>
      <c r="C41" s="24">
        <f>C39+C40</f>
        <v>595630.43999999994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70000</v>
      </c>
      <c r="D45" s="26">
        <f>C45</f>
        <v>70000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15216</v>
      </c>
      <c r="D46" s="26">
        <f t="shared" ref="D46:D52" si="1">IF(ISNUMBER(B46),MAX(B46,C46),C46)</f>
        <v>15216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29781.521999999997</v>
      </c>
      <c r="D47" s="26">
        <f t="shared" si="1"/>
        <v>29781.521999999997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27000</v>
      </c>
      <c r="D49" s="26">
        <f t="shared" si="1"/>
        <v>27000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288734.03508771933</v>
      </c>
      <c r="C53" s="24">
        <f>SUM(C45:C52)</f>
        <v>180697.522</v>
      </c>
      <c r="D53" s="24">
        <f>SUM(D45:D52)</f>
        <v>180697.522</v>
      </c>
      <c r="E53" s="24">
        <f t="shared" si="0"/>
        <v>-108036.51308771933</v>
      </c>
      <c r="F53" s="2" t="s">
        <v>121</v>
      </c>
    </row>
    <row r="54" spans="1:6" x14ac:dyDescent="0.25">
      <c r="A54" t="s">
        <v>122</v>
      </c>
      <c r="B54" s="8">
        <f>IFERROR(B53/B7,"")</f>
        <v>16040.779727095518</v>
      </c>
      <c r="C54" s="8">
        <f>IFERROR(C53/B7,"")</f>
        <v>10038.751222222221</v>
      </c>
      <c r="D54" s="8">
        <f>IFERROR(D53/B7,"")</f>
        <v>10038.751222222221</v>
      </c>
    </row>
    <row r="55" spans="1:6" x14ac:dyDescent="0.25">
      <c r="A55" t="s">
        <v>123</v>
      </c>
      <c r="B55" s="18">
        <f>IFERROR(B53/B41,"")</f>
        <v>0.48476701030927838</v>
      </c>
      <c r="C55" s="18">
        <f>IFERROR(C53/C41,"")</f>
        <v>0.30337187266654808</v>
      </c>
      <c r="D55" s="18">
        <f>IF(C37&gt;0,IFERROR(D53/C41,""),"")</f>
        <v>0.30337187266654808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306880</v>
      </c>
      <c r="C60" s="24">
        <f>IF(C37&gt;0,C41-D53,"")</f>
        <v>414932.91799999995</v>
      </c>
    </row>
    <row r="61" spans="1:6" x14ac:dyDescent="0.25">
      <c r="A61" s="22" t="s">
        <v>127</v>
      </c>
      <c r="B61" s="18">
        <f>IFERROR(B60/B22,"")</f>
        <v>5.4800000000000001E-2</v>
      </c>
      <c r="C61" s="18">
        <f>IF(C60="","",IFERROR(C60/B22,""))</f>
        <v>7.409516392857142E-2</v>
      </c>
      <c r="F61" s="2" t="s">
        <v>128</v>
      </c>
    </row>
    <row r="62" spans="1:6" x14ac:dyDescent="0.25">
      <c r="A62" t="s">
        <v>129</v>
      </c>
      <c r="B62" s="19">
        <f>IFERROR(B22/B37,"")</f>
        <v>9.1199999999999992</v>
      </c>
      <c r="C62" s="19">
        <f>IF(C37&gt;0,IFERROR(B22/C37,""),"")</f>
        <v>9.1197488160611808</v>
      </c>
    </row>
    <row r="63" spans="1:6" x14ac:dyDescent="0.25">
      <c r="A63" t="s">
        <v>130</v>
      </c>
      <c r="B63" s="8">
        <f>IFERROR(B60/B7,"")</f>
        <v>17048.888888888891</v>
      </c>
      <c r="C63" s="8">
        <f>IF(C60="","",IFERROR(C60/B7,""))</f>
        <v>23051.828777777773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3360000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4492678.5404365575</v>
      </c>
    </row>
    <row r="68" spans="1:6" x14ac:dyDescent="0.25">
      <c r="A68" s="22" t="s">
        <v>134</v>
      </c>
      <c r="B68" s="8">
        <f>IFERROR(MIN(B66,B67),"")</f>
        <v>3360000</v>
      </c>
    </row>
    <row r="69" spans="1:6" x14ac:dyDescent="0.25">
      <c r="A69" t="s">
        <v>135</v>
      </c>
      <c r="B69" s="8">
        <f>IFERROR(B22-B68,"")</f>
        <v>2240000</v>
      </c>
    </row>
    <row r="70" spans="1:6" x14ac:dyDescent="0.25">
      <c r="A70" t="s">
        <v>136</v>
      </c>
      <c r="B70" s="8">
        <f>IFERROR(-PMT(Assumptions!$B$22/12,Assumptions!$B$23*12,B68)*12,"")</f>
        <v>248257.1752119211</v>
      </c>
    </row>
    <row r="71" spans="1:6" x14ac:dyDescent="0.25">
      <c r="A71" t="s">
        <v>137</v>
      </c>
      <c r="B71" s="19">
        <f>IFERROR(C60/B70,"")</f>
        <v>1.6713833855790816</v>
      </c>
    </row>
    <row r="72" spans="1:6" x14ac:dyDescent="0.25">
      <c r="A72" t="s">
        <v>138</v>
      </c>
      <c r="B72" s="8">
        <f>IFERROR(C60-B70,"")</f>
        <v>166675.74278807885</v>
      </c>
    </row>
    <row r="73" spans="1:6" x14ac:dyDescent="0.25">
      <c r="A73" t="s">
        <v>139</v>
      </c>
      <c r="B73" s="18">
        <f>IFERROR(B72/B69,"")</f>
        <v>7.440881374467806E-2</v>
      </c>
    </row>
    <row r="75" spans="1:6" x14ac:dyDescent="0.25">
      <c r="A75" s="2" t="s">
        <v>140</v>
      </c>
    </row>
  </sheetData>
  <hyperlinks>
    <hyperlink ref="A3" r:id="rId1" xr:uid="{F8D821D8-0F7B-4030-B258-119BAD69328D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15 20 Brooks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2026-09-17T20:13:12Z</dcterms:created>
  <dcterms:modified xsi:type="dcterms:W3CDTF">2026-09-17T20:13:12Z</dcterms:modified>
</cp:coreProperties>
</file>