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0A39FF3-B296-4672-B030-D908A032DF79}" xr6:coauthVersionLast="47" xr6:coauthVersionMax="47" xr10:uidLastSave="{00000000-0000-0000-0000-000000000000}"/>
  <bookViews>
    <workbookView xWindow="-120" yWindow="-120" windowWidth="29040" windowHeight="15720" activeTab="1" xr2:uid="{0D2395E6-C95E-4948-BC86-E84E7664E08E}"/>
  </bookViews>
  <sheets>
    <sheet name="Assumptions" sheetId="1" r:id="rId1"/>
    <sheet name="25 1256 S Westgate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D45" i="2"/>
  <c r="B61" i="2" l="1"/>
  <c r="B63" i="2"/>
  <c r="C62" i="2"/>
  <c r="C40" i="2"/>
  <c r="C39" i="2"/>
  <c r="C41" i="2" s="1"/>
  <c r="C47" i="2" s="1"/>
  <c r="B55" i="2"/>
  <c r="B54" i="2"/>
  <c r="D47" i="2" l="1"/>
  <c r="D53" i="2" s="1"/>
  <c r="C53" i="2"/>
  <c r="C60" i="2"/>
  <c r="C61" i="2" l="1"/>
  <c r="B67" i="2"/>
  <c r="B68" i="2" s="1"/>
  <c r="C63" i="2"/>
  <c r="C54" i="2"/>
  <c r="C55" i="2"/>
  <c r="D54" i="2"/>
  <c r="B56" i="2"/>
  <c r="D55" i="2"/>
  <c r="E5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<sst xmlns="http://schemas.openxmlformats.org/spreadsheetml/2006/main" count="151" uniqueCount="142">
  <si>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</si>
  <si>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</si>
  <si>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</si>
  <si>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</si>
  <si>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</si>
  <si>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</si>
  <si>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</si>
  <si>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</si>
  <si>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</si>
  <si>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</si>
  <si>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</si>
  <si>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</si>
  <si>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</si>
  <si>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</si>
  <si>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</si>
  <si>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</si>
  <si>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</si>
  <si>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</si>
  <si>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</si>
  <si>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</si>
  <si>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</si>
  <si>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</si>
  <si>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</si>
  <si>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</si>
  <si>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</si>
  <si>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</si>
  <si>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</si>
  <si>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</si>
  <si>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</si>
  <si>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</si>
  <si>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</si>
  <si>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</si>
  <si>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</si>
  <si>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</si>
  <si>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</si>
  <si>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</si>
  <si>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</si>
  <si>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</si>
  <si>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</si>
  <si>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</si>
  <si>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</si>
  <si>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</si>
  <si>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</si>
  <si>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</si>
  <si>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</si>
  <si>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</si>
  <si>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</si>
  <si>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1256 S Westgate Ave</t>
  </si>
  <si>
    <t>Los Angeles, CA 90025  |  West LA / Sawtelle</t>
  </si>
  <si>
    <t>LoopNet listing</t>
  </si>
  <si>
    <t>Data pulled 9/17/2026 from LoopNet public listing</t>
  </si>
  <si>
    <t>NOTE: 80% occupied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</si>
  <si>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</si>
  <si>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</si>
  <si>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</si>
  <si>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</si>
  <si>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</si>
  <si>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</si>
  <si>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</si>
  <si>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</si>
  <si>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</si>
  <si>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</si>
  <si>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</si>
  <si>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80%</t>
  </si>
  <si>
    <t>APN</t>
  </si>
  <si>
    <t>4263-007-025</t>
  </si>
  <si>
    <t>Assessed value (current)</t>
  </si>
  <si>
    <t>Listing broker(s)</t>
  </si>
  <si>
    <t>Peter James, Will James</t>
  </si>
  <si>
    <t>Date on market</t>
  </si>
  <si>
    <t>5/28/2026</t>
  </si>
  <si>
    <t>Listing last updated</t>
  </si>
  <si>
    <t>8/12/2026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</si>
  <si>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</si>
  <si>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</si>
  <si>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</si>
  <si>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</si>
  <si>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</si>
  <si>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</si>
  <si>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</si>
  <si>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</si>
  <si>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</si>
  <si>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</si>
  <si>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</si>
  <si>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</si>
  <si>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</si>
  <si>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</si>
  <si>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Allocated from published GRM (price / GRM) using LAAA bed weights</t>
  </si>
  <si>
    <t>2 Bd / 2 Ba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</si>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</sst>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B6EADD4-3E07-4784-B0C4-5C91FA31BB5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56-S-Westgate-Ave-Los-Angeles-CA/406995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D844-2989-4E54-908F-5EB327CB0E0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1D50-9A30-4F45-B005-032F5F408CB4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7391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  <c r="B11">
        <v>1960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882650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2695000</v>
      </c>
    </row>
    <row r="23" spans="1:6" x14ac:dyDescent="0.25">
      <c r="A23" t="s">
        <v>75</v>
      </c>
      <c r="B23" s="8">
        <f>IFERROR(B22/B7,"")</f>
        <v>269500</v>
      </c>
    </row>
    <row r="24" spans="1:6" x14ac:dyDescent="0.25">
      <c r="A24" t="s">
        <v>76</v>
      </c>
      <c r="B24" s="17">
        <f>IFERROR(B22/B8,"")</f>
        <v>364.6326613448789</v>
      </c>
    </row>
    <row r="25" spans="1:6" x14ac:dyDescent="0.25">
      <c r="A25" t="s">
        <v>77</v>
      </c>
      <c r="B25" s="18">
        <v>4.8499999999999988E-2</v>
      </c>
    </row>
    <row r="26" spans="1:6" x14ac:dyDescent="0.25">
      <c r="A26" t="s">
        <v>78</v>
      </c>
      <c r="B26" s="19">
        <v>12.89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21">
        <v>1577</v>
      </c>
      <c r="D30" s="8">
        <f>B30*C30</f>
        <v>11039</v>
      </c>
      <c r="E30" s="8">
        <f>D30*12</f>
        <v>132468</v>
      </c>
      <c r="F30" s="2" t="s">
        <v>87</v>
      </c>
    </row>
    <row r="31" spans="1:6" x14ac:dyDescent="0.25">
      <c r="A31" t="s">
        <v>88</v>
      </c>
      <c r="B31" s="15">
        <v>1</v>
      </c>
      <c r="C31" s="21">
        <v>2129</v>
      </c>
      <c r="D31" s="8">
        <f>B31*C31</f>
        <v>2129</v>
      </c>
      <c r="E31" s="8">
        <f>D31*12</f>
        <v>25548</v>
      </c>
      <c r="F31" s="2" t="s">
        <v>87</v>
      </c>
    </row>
    <row r="32" spans="1:6" x14ac:dyDescent="0.25">
      <c r="A32" t="s">
        <v>89</v>
      </c>
      <c r="B32" s="15">
        <v>2</v>
      </c>
      <c r="C32" s="21">
        <v>2129</v>
      </c>
      <c r="D32" s="8">
        <f>B32*C32</f>
        <v>4258</v>
      </c>
      <c r="E32" s="8">
        <f>D32*12</f>
        <v>51096</v>
      </c>
      <c r="F32" s="2" t="s">
        <v>87</v>
      </c>
    </row>
    <row r="33" spans="1:6" x14ac:dyDescent="0.25">
      <c r="A33" s="22" t="s">
        <v>90</v>
      </c>
      <c r="B33" s="23">
        <f>SUM(B30:B32)</f>
        <v>10</v>
      </c>
      <c r="C33" s="24">
        <f>IFERROR(D33/B33,"")</f>
        <v>1742.6</v>
      </c>
      <c r="D33" s="24">
        <f>SUM(D30:D32)</f>
        <v>17426</v>
      </c>
      <c r="E33" s="24">
        <f>SUM(E30:E32)</f>
        <v>209112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>
        <v>209076.80372381691</v>
      </c>
      <c r="C37" s="8">
        <f>E33</f>
        <v>209112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209076.80372381691</v>
      </c>
      <c r="C39" s="8">
        <f>C37+C38</f>
        <v>209112</v>
      </c>
    </row>
    <row r="40" spans="1:6" x14ac:dyDescent="0.25">
      <c r="A40" t="s">
        <v>99</v>
      </c>
      <c r="B40" s="8">
        <f>-B37*0.03</f>
        <v>-6272.3041117145067</v>
      </c>
      <c r="C40" s="8">
        <f>-C37*Assumptions!$B$3</f>
        <v>-6273.36</v>
      </c>
      <c r="F40" s="2" t="s">
        <v>100</v>
      </c>
    </row>
    <row r="41" spans="1:6" x14ac:dyDescent="0.25">
      <c r="A41" s="22" t="s">
        <v>101</v>
      </c>
      <c r="B41" s="24">
        <f>B39+B40</f>
        <v>202804.4996121024</v>
      </c>
      <c r="C41" s="24">
        <f>C39+C40</f>
        <v>202838.64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B22*Assumptions!$B$15</f>
        <v>33687.5</v>
      </c>
      <c r="D45" s="26">
        <f>C45</f>
        <v>33687.5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9391</v>
      </c>
      <c r="D46" s="26">
        <f t="shared" ref="D46:D52" si="1">IF(ISNUMBER(B46),MAX(B46,C46),C46)</f>
        <v>9391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10141.932000000001</v>
      </c>
      <c r="D47" s="26">
        <f t="shared" si="1"/>
        <v>10141.932000000001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12000</v>
      </c>
      <c r="D48" s="26">
        <f t="shared" si="1"/>
        <v>12000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B7*Assumptions!$B$9</f>
        <v>15000</v>
      </c>
      <c r="D49" s="26">
        <f t="shared" si="1"/>
        <v>15000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4000</v>
      </c>
      <c r="D50" s="26">
        <f t="shared" si="1"/>
        <v>4000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2500</v>
      </c>
      <c r="D51" s="26">
        <f t="shared" si="1"/>
        <v>2500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3000</v>
      </c>
      <c r="D52" s="26">
        <f t="shared" si="1"/>
        <v>3000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4">
        <f>B41-B22*B25</f>
        <v>72096.999612102431</v>
      </c>
      <c r="C53" s="24">
        <f>SUM(C45:C52)</f>
        <v>89720.432000000001</v>
      </c>
      <c r="D53" s="24">
        <f>SUM(D45:D52)</f>
        <v>89720.432000000001</v>
      </c>
      <c r="E53" s="24">
        <f t="shared" si="0"/>
        <v>17623.43238789757</v>
      </c>
      <c r="F53" s="2" t="s">
        <v>122</v>
      </c>
    </row>
    <row r="54" spans="1:6" x14ac:dyDescent="0.25">
      <c r="A54" t="s">
        <v>123</v>
      </c>
      <c r="B54" s="8">
        <f>IFERROR(B53/B7,"")</f>
        <v>7209.6999612102427</v>
      </c>
      <c r="C54" s="8">
        <f>IFERROR(C53/B7,"")</f>
        <v>8972.0432000000001</v>
      </c>
      <c r="D54" s="8">
        <f>IFERROR(D53/B7,"")</f>
        <v>8972.0432000000001</v>
      </c>
    </row>
    <row r="55" spans="1:6" x14ac:dyDescent="0.25">
      <c r="A55" t="s">
        <v>124</v>
      </c>
      <c r="B55" s="18">
        <f>IFERROR(B53/B41,"")</f>
        <v>0.35550000000000015</v>
      </c>
      <c r="C55" s="18">
        <f>IFERROR(C53/C41,"")</f>
        <v>0.44232416466606161</v>
      </c>
      <c r="D55" s="18">
        <f>IF(C37&gt;0,IFERROR(D53/C41,""),"")</f>
        <v>0.44232416466606161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4">
        <f>B41-B53</f>
        <v>130707.49999999997</v>
      </c>
      <c r="C60" s="24">
        <f>IF(C37&gt;0,C41-D53,"")</f>
        <v>113118.20800000001</v>
      </c>
    </row>
    <row r="61" spans="1:6" x14ac:dyDescent="0.25">
      <c r="A61" s="22" t="s">
        <v>128</v>
      </c>
      <c r="B61" s="18">
        <f>IFERROR(B60/B22,"")</f>
        <v>4.8499999999999988E-2</v>
      </c>
      <c r="C61" s="18">
        <f>IF(C60="","",IFERROR(C60/B22,""))</f>
        <v>4.1973361038961043E-2</v>
      </c>
      <c r="F61" s="2" t="s">
        <v>129</v>
      </c>
    </row>
    <row r="62" spans="1:6" x14ac:dyDescent="0.25">
      <c r="A62" t="s">
        <v>130</v>
      </c>
      <c r="B62" s="19">
        <f>IFERROR(B22/B37,"")</f>
        <v>12.89</v>
      </c>
      <c r="C62" s="19">
        <f>IF(C37&gt;0,IFERROR(B22/C37,""),"")</f>
        <v>12.887830444929033</v>
      </c>
    </row>
    <row r="63" spans="1:6" x14ac:dyDescent="0.25">
      <c r="A63" t="s">
        <v>131</v>
      </c>
      <c r="B63" s="8">
        <f>IFERROR(B60/B7,"")</f>
        <v>13070.749999999996</v>
      </c>
      <c r="C63" s="8">
        <f>IF(C60="","",IFERROR(C60/B7,""))</f>
        <v>11311.820800000001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1617000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1224785.3172599794</v>
      </c>
    </row>
    <row r="68" spans="1:6" x14ac:dyDescent="0.25">
      <c r="A68" s="22" t="s">
        <v>135</v>
      </c>
      <c r="B68" s="8">
        <f>IFERROR(MIN(B66,B67),"")</f>
        <v>1224785.3172599794</v>
      </c>
    </row>
    <row r="69" spans="1:6" x14ac:dyDescent="0.25">
      <c r="A69" t="s">
        <v>136</v>
      </c>
      <c r="B69" s="8">
        <f>IFERROR(B22-B68,"")</f>
        <v>1470214.6827400206</v>
      </c>
    </row>
    <row r="70" spans="1:6" x14ac:dyDescent="0.25">
      <c r="A70" t="s">
        <v>137</v>
      </c>
      <c r="B70" s="8">
        <f>IFERROR(-PMT(Assumptions!$B$22/12,Assumptions!$B$23*12,B68)*12,"")</f>
        <v>90494.56639999972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22623.641600000294</v>
      </c>
    </row>
    <row r="73" spans="1:6" x14ac:dyDescent="0.25">
      <c r="A73" t="s">
        <v>140</v>
      </c>
      <c r="B73" s="18">
        <f>IFERROR(B72/B69,"")</f>
        <v>1.5387985078367533E-2</v>
      </c>
    </row>
    <row r="75" spans="1:6" x14ac:dyDescent="0.25">
      <c r="A75" s="2" t="s">
        <v>141</v>
      </c>
    </row>
  </sheetData>
  <hyperlinks>
    <hyperlink ref="A3" r:id="rId1" xr:uid="{B5BC2906-0FE5-489F-ABD0-93E26762A799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25 1256 S Westgate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2026-09-17T20:13:29Z</dcterms:created>
  <dcterms:modified xsi:type="dcterms:W3CDTF">2026-09-17T20:13:29Z</dcterms:modified>
</cp:coreProperties>
</file>