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079E7996-E7C7-4F98-B3FB-666E4B4A8124}" xr6:coauthVersionLast="47" xr6:coauthVersionMax="47" xr10:uidLastSave="{00000000-0000-0000-0000-000000000000}"/>
  <bookViews>
    <workbookView xWindow="-120" yWindow="-120" windowWidth="29040" windowHeight="15720" activeTab="1" xr2:uid="{49E05066-2628-4EB7-9BA9-061F758A4E73}"/>
  </bookViews>
  <sheets>
    <sheet name="Assumptions" sheetId="1" r:id="rId1"/>
    <sheet name="36 1814 Federal Ave" sheetId="2" r:id="rId2"/>
  </sheets>
  <definedNames>
    <definedName name="_xlnm.Print_Area" localSheetId="1">'36 1814 Federal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4" i="2"/>
  <c r="B52" i="2"/>
  <c r="E51" i="2"/>
  <c r="E50" i="2"/>
  <c r="C50" i="2"/>
  <c r="D50" i="2" s="1"/>
  <c r="E49" i="2"/>
  <c r="C49" i="2"/>
  <c r="D49" i="2" s="1"/>
  <c r="E48" i="2"/>
  <c r="C48" i="2"/>
  <c r="D48" i="2" s="1"/>
  <c r="E47" i="2"/>
  <c r="D47" i="2"/>
  <c r="C47" i="2"/>
  <c r="E46" i="2"/>
  <c r="C46" i="2"/>
  <c r="D46" i="2" s="1"/>
  <c r="E45" i="2"/>
  <c r="E44" i="2"/>
  <c r="C44" i="2"/>
  <c r="D44" i="2" s="1"/>
  <c r="E43" i="2"/>
  <c r="D43" i="2"/>
  <c r="C43" i="2"/>
  <c r="B38" i="2"/>
  <c r="B37" i="2"/>
  <c r="B39" i="2" s="1"/>
  <c r="B53" i="2" s="1"/>
  <c r="D31" i="2"/>
  <c r="B31" i="2"/>
  <c r="C31" i="2" s="1"/>
  <c r="D30" i="2"/>
  <c r="E30" i="2" s="1"/>
  <c r="E31" i="2" s="1"/>
  <c r="C35" i="2" s="1"/>
  <c r="B24" i="2"/>
  <c r="B23" i="2"/>
  <c r="C60" i="2" l="1"/>
  <c r="C38" i="2"/>
  <c r="C37" i="2"/>
  <c r="C39" i="2" l="1"/>
  <c r="C45" i="2" l="1"/>
  <c r="D45" i="2" l="1"/>
  <c r="D51" i="2" s="1"/>
  <c r="C51" i="2"/>
  <c r="C52" i="2" l="1"/>
  <c r="C53" i="2"/>
  <c r="D52" i="2"/>
  <c r="D53" i="2"/>
  <c r="C58" i="2"/>
  <c r="C59" i="2" l="1"/>
  <c r="B65" i="2"/>
  <c r="B66" i="2" s="1"/>
  <c r="C61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<sst xmlns="http://schemas.openxmlformats.org/spreadsheetml/2006/main" count="147" uniqueCount="140">
  <si>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</si>
  <si>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</si>
  <si>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</si>
  <si>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</si>
  <si>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</si>
  <si>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</si>
  <si>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</si>
  <si>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</si>
  <si>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</si>
  <si>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</si>
  <si>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</si>
  <si>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</si>
  <si>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</si>
  <si>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</si>
  <si>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</si>
  <si>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</si>
  <si>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</si>
  <si>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</si>
  <si>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</si>
  <si>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</si>
  <si>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</si>
  <si>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</si>
  <si>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</si>
  <si>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</si>
  <si>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</si>
  <si>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</si>
  <si>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</si>
  <si>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</si>
  <si>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</si>
  <si>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</si>
  <si>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</si>
  <si>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</si>
  <si>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</si>
  <si>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</si>
  <si>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</si>
  <si>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</si>
  <si>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</si>
  <si>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</si>
  <si>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</si>
  <si>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</si>
  <si>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</si>
  <si>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</si>
  <si>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</si>
  <si>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</si>
  <si>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</si>
  <si>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</si>
  <si>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</si>
  <si>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1814 Federal Ave</t>
  </si>
  <si>
    <t>Los Angeles, CA 90025  |  West LA / Sawtelle</t>
  </si>
  <si>
    <t>LoopNet listing</t>
  </si>
  <si>
    <t>Data pulled 9/17/2026 from LoopNet public listing</t>
  </si>
  <si>
    <t>NOTE: UNPRICED. 2024 construction, 12 units</t>
  </si>
  <si>
    <t>PROPERTY</t>
  </si>
  <si>
    <t>Units</t>
  </si>
  <si>
    <t>Gross building SF</t>
  </si>
  <si>
    <t>Lot SF</t>
  </si>
  <si>
    <t>Lot acres</t>
  </si>
  <si>
    <t>Year built</t>
  </si>
  <si>
    <t>Stories</t>
  </si>
  <si>
    <t>5</t>
  </si>
  <si>
    <t>Zoning</t>
  </si>
  <si>
    <t>LAR3 - Restricted Density Multiple Dwelling Zone</t>
  </si>
  <si>
    <t>Occupancy per listing</t>
  </si>
  <si>
    <t>APN</t>
  </si>
  <si>
    <t>4261-025-027</t>
  </si>
  <si>
    <t>Assessed value (current)</t>
  </si>
  <si>
    <t>Listing broker(s)</t>
  </si>
  <si>
    <t>Kamran Paydar, Kadie Presley Wilson</t>
  </si>
  <si>
    <t>Date on market</t>
  </si>
  <si>
    <t>10/7/2025</t>
  </si>
  <si>
    <t>Listing last updated</t>
  </si>
  <si>
    <t>9/15/2026</t>
  </si>
  <si>
    <t>PRICING</t>
  </si>
  <si>
    <t>Asking price</t>
  </si>
  <si>
    <t>UNPRICED (price upon request)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</si>
  <si>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</si>
  <si>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</si>
  <si>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</si>
  <si>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</si>
  <si>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</si>
  <si>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</si>
  <si>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</si>
  <si>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</si>
  <si>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</si>
  <si>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</si>
  <si>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</si>
  <si>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Units (mix not published)</t>
  </si>
  <si>
    <t>ESTIMATED (no rents, GRM or cap published) - verify with OM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</si>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</sst>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86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317502D-46F1-4073-9AD2-2C6117930A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8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14-Federal-Ave-Los-Angeles-CA/379731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4E45-6B2C-4390-8185-4BD5D74BEF0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872F-BE0B-4DC3-9F2C-951C9D6EDB54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12</v>
      </c>
    </row>
    <row r="8" spans="1:3" x14ac:dyDescent="0.25">
      <c r="A8" t="s">
        <v>54</v>
      </c>
      <c r="B8" s="15">
        <v>8000</v>
      </c>
    </row>
    <row r="9" spans="1:3" x14ac:dyDescent="0.25">
      <c r="A9" t="s">
        <v>55</v>
      </c>
      <c r="B9" s="15">
        <v>5663</v>
      </c>
    </row>
    <row r="10" spans="1:3" x14ac:dyDescent="0.25">
      <c r="A10" t="s">
        <v>56</v>
      </c>
      <c r="B10" s="16">
        <v>0.13</v>
      </c>
    </row>
    <row r="11" spans="1:3" x14ac:dyDescent="0.25">
      <c r="A11" t="s">
        <v>57</v>
      </c>
      <c r="B11">
        <v>2024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4629520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/>
      <c r="C22" s="12" t="s">
        <v>74</v>
      </c>
    </row>
    <row r="23" spans="1:6" x14ac:dyDescent="0.25">
      <c r="A23" t="s">
        <v>75</v>
      </c>
      <c r="B23" s="8">
        <f>IFERROR(B22/B7,"")</f>
        <v>0</v>
      </c>
    </row>
    <row r="24" spans="1:6" x14ac:dyDescent="0.25">
      <c r="A24" t="s">
        <v>76</v>
      </c>
      <c r="B24" s="17">
        <f>IFERROR(B22/B8,"")</f>
        <v>0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12</v>
      </c>
      <c r="C30" s="21">
        <v>2200</v>
      </c>
      <c r="D30" s="8">
        <f>B30*C30</f>
        <v>26400</v>
      </c>
      <c r="E30" s="8">
        <f>D30*12</f>
        <v>316800</v>
      </c>
      <c r="F30" s="2" t="s">
        <v>87</v>
      </c>
    </row>
    <row r="31" spans="1:6" x14ac:dyDescent="0.25">
      <c r="A31" s="22" t="s">
        <v>88</v>
      </c>
      <c r="B31" s="23">
        <f>SUM(B30:B30)</f>
        <v>12</v>
      </c>
      <c r="C31" s="24">
        <f>IFERROR(D31/B31,"")</f>
        <v>2200</v>
      </c>
      <c r="D31" s="24">
        <f>SUM(D30:D30)</f>
        <v>26400</v>
      </c>
      <c r="E31" s="24">
        <f>SUM(E30:E30)</f>
        <v>316800</v>
      </c>
    </row>
    <row r="33" spans="1:6" x14ac:dyDescent="0.25">
      <c r="A33" s="13" t="s">
        <v>89</v>
      </c>
      <c r="B33" s="14"/>
      <c r="C33" s="14"/>
      <c r="D33" s="14"/>
      <c r="E33" s="14"/>
      <c r="F33" s="14"/>
    </row>
    <row r="34" spans="1:6" x14ac:dyDescent="0.25">
      <c r="A34" s="25"/>
      <c r="B34" s="25" t="s">
        <v>90</v>
      </c>
      <c r="C34" s="25" t="s">
        <v>91</v>
      </c>
      <c r="D34" s="25"/>
      <c r="E34" s="25"/>
      <c r="F34" s="25" t="s">
        <v>92</v>
      </c>
    </row>
    <row r="35" spans="1:6" x14ac:dyDescent="0.25">
      <c r="A35" t="s">
        <v>93</v>
      </c>
      <c r="B35" s="8"/>
      <c r="C35" s="8">
        <f>E31</f>
        <v>316800</v>
      </c>
      <c r="F35" s="2" t="s">
        <v>94</v>
      </c>
    </row>
    <row r="36" spans="1:6" x14ac:dyDescent="0.25">
      <c r="A36" t="s">
        <v>95</v>
      </c>
      <c r="B36" s="8">
        <v>0</v>
      </c>
      <c r="C36" s="4">
        <v>0</v>
      </c>
    </row>
    <row r="37" spans="1:6" x14ac:dyDescent="0.25">
      <c r="A37" s="22" t="s">
        <v>96</v>
      </c>
      <c r="B37" s="8">
        <f>B35+B36</f>
        <v>0</v>
      </c>
      <c r="C37" s="8">
        <f>C35+C36</f>
        <v>316800</v>
      </c>
    </row>
    <row r="38" spans="1:6" x14ac:dyDescent="0.25">
      <c r="A38" t="s">
        <v>97</v>
      </c>
      <c r="B38" s="8">
        <f>-B35*0.03</f>
        <v>0</v>
      </c>
      <c r="C38" s="8">
        <f>-C35*Assumptions!$B$3</f>
        <v>-9504</v>
      </c>
      <c r="F38" s="2" t="s">
        <v>98</v>
      </c>
    </row>
    <row r="39" spans="1:6" x14ac:dyDescent="0.25">
      <c r="A39" s="22" t="s">
        <v>99</v>
      </c>
      <c r="B39" s="24">
        <f>B37+B38</f>
        <v>0</v>
      </c>
      <c r="C39" s="24">
        <f>C37+C38</f>
        <v>307296</v>
      </c>
    </row>
    <row r="41" spans="1:6" x14ac:dyDescent="0.25">
      <c r="A41" s="13" t="s">
        <v>100</v>
      </c>
      <c r="B41" s="14"/>
      <c r="C41" s="14"/>
      <c r="D41" s="14"/>
      <c r="E41" s="14"/>
      <c r="F41" s="14"/>
    </row>
    <row r="42" spans="1:6" x14ac:dyDescent="0.25">
      <c r="A42" s="25" t="s">
        <v>101</v>
      </c>
      <c r="B42" s="25" t="s">
        <v>90</v>
      </c>
      <c r="C42" s="25" t="s">
        <v>102</v>
      </c>
      <c r="D42" s="25" t="s">
        <v>91</v>
      </c>
      <c r="E42" s="25" t="s">
        <v>103</v>
      </c>
      <c r="F42" s="25" t="s">
        <v>92</v>
      </c>
    </row>
    <row r="43" spans="1:6" x14ac:dyDescent="0.25">
      <c r="A43" t="s">
        <v>104</v>
      </c>
      <c r="B43" s="8"/>
      <c r="C43" s="8">
        <f>B22*Assumptions!$B$15</f>
        <v>0</v>
      </c>
      <c r="D43" s="26">
        <f>C43</f>
        <v>0</v>
      </c>
      <c r="E43" s="8" t="str">
        <f t="shared" ref="E43:E51" si="0">IF(ISNUMBER(B43),D43-B43,"")</f>
        <v/>
      </c>
      <c r="F43" s="2" t="s">
        <v>105</v>
      </c>
    </row>
    <row r="44" spans="1:6" x14ac:dyDescent="0.25">
      <c r="A44" t="s">
        <v>106</v>
      </c>
      <c r="B44" s="8"/>
      <c r="C44" s="8">
        <f>B7*Assumptions!$B$5+B8*Assumptions!$B$6</f>
        <v>10400</v>
      </c>
      <c r="D44" s="26">
        <f t="shared" ref="D44:D50" si="1">IF(ISNUMBER(B44),MAX(B44,C44),C44)</f>
        <v>10400</v>
      </c>
      <c r="E44" s="8" t="str">
        <f t="shared" si="0"/>
        <v/>
      </c>
      <c r="F44" s="2" t="s">
        <v>107</v>
      </c>
    </row>
    <row r="45" spans="1:6" x14ac:dyDescent="0.25">
      <c r="A45" t="s">
        <v>108</v>
      </c>
      <c r="B45" s="8"/>
      <c r="C45" s="8">
        <f>C39*Assumptions!$B$4</f>
        <v>15364.800000000001</v>
      </c>
      <c r="D45" s="26">
        <f t="shared" si="1"/>
        <v>15364.800000000001</v>
      </c>
      <c r="E45" s="8" t="str">
        <f t="shared" si="0"/>
        <v/>
      </c>
      <c r="F45" s="2" t="s">
        <v>109</v>
      </c>
    </row>
    <row r="46" spans="1:6" x14ac:dyDescent="0.25">
      <c r="A46" t="s">
        <v>110</v>
      </c>
      <c r="B46" s="8"/>
      <c r="C46" s="8">
        <f>B7*Assumptions!$B$8</f>
        <v>9600</v>
      </c>
      <c r="D46" s="26">
        <f t="shared" si="1"/>
        <v>9600</v>
      </c>
      <c r="E46" s="8" t="str">
        <f t="shared" si="0"/>
        <v/>
      </c>
      <c r="F46" s="2" t="s">
        <v>111</v>
      </c>
    </row>
    <row r="47" spans="1:6" x14ac:dyDescent="0.25">
      <c r="A47" t="s">
        <v>112</v>
      </c>
      <c r="B47" s="8"/>
      <c r="C47" s="8">
        <f>B7*Assumptions!$B$9</f>
        <v>18000</v>
      </c>
      <c r="D47" s="26">
        <f t="shared" si="1"/>
        <v>18000</v>
      </c>
      <c r="E47" s="8" t="str">
        <f t="shared" si="0"/>
        <v/>
      </c>
      <c r="F47" s="2" t="s">
        <v>113</v>
      </c>
    </row>
    <row r="48" spans="1:6" x14ac:dyDescent="0.25">
      <c r="A48" t="s">
        <v>114</v>
      </c>
      <c r="B48" s="8"/>
      <c r="C48" s="8">
        <f>B7*Assumptions!$B$12</f>
        <v>4800</v>
      </c>
      <c r="D48" s="26">
        <f t="shared" si="1"/>
        <v>4800</v>
      </c>
      <c r="E48" s="8" t="str">
        <f t="shared" si="0"/>
        <v/>
      </c>
      <c r="F48" s="2" t="s">
        <v>115</v>
      </c>
    </row>
    <row r="49" spans="1:6" x14ac:dyDescent="0.25">
      <c r="A49" t="s">
        <v>116</v>
      </c>
      <c r="B49" s="8"/>
      <c r="C49" s="8">
        <f>B7*Assumptions!$B$13</f>
        <v>3000</v>
      </c>
      <c r="D49" s="26">
        <f t="shared" si="1"/>
        <v>3000</v>
      </c>
      <c r="E49" s="8" t="str">
        <f t="shared" si="0"/>
        <v/>
      </c>
      <c r="F49" s="2" t="s">
        <v>117</v>
      </c>
    </row>
    <row r="50" spans="1:6" x14ac:dyDescent="0.25">
      <c r="A50" t="s">
        <v>118</v>
      </c>
      <c r="B50" s="8"/>
      <c r="C50" s="8">
        <f>B7*Assumptions!$B$14</f>
        <v>3600</v>
      </c>
      <c r="D50" s="26">
        <f t="shared" si="1"/>
        <v>3600</v>
      </c>
      <c r="E50" s="8" t="str">
        <f t="shared" si="0"/>
        <v/>
      </c>
      <c r="F50" s="2" t="s">
        <v>115</v>
      </c>
    </row>
    <row r="51" spans="1:6" x14ac:dyDescent="0.25">
      <c r="A51" s="22" t="s">
        <v>119</v>
      </c>
      <c r="B51" s="22"/>
      <c r="C51" s="24">
        <f>SUM(C43:C50)</f>
        <v>64764.800000000003</v>
      </c>
      <c r="D51" s="24">
        <f>SUM(D43:D50)</f>
        <v>64764.800000000003</v>
      </c>
      <c r="E51" s="24" t="str">
        <f t="shared" si="0"/>
        <v/>
      </c>
      <c r="F51" s="2" t="s">
        <v>120</v>
      </c>
    </row>
    <row r="52" spans="1:6" x14ac:dyDescent="0.25">
      <c r="A52" t="s">
        <v>121</v>
      </c>
      <c r="B52" s="8">
        <f>IFERROR(B51/B7,"")</f>
        <v>0</v>
      </c>
      <c r="C52" s="8">
        <f>IFERROR(C51/B7,"")</f>
        <v>5397.0666666666666</v>
      </c>
      <c r="D52" s="8">
        <f>IFERROR(D51/B7,"")</f>
        <v>5397.0666666666666</v>
      </c>
    </row>
    <row r="53" spans="1:6" x14ac:dyDescent="0.25">
      <c r="A53" t="s">
        <v>122</v>
      </c>
      <c r="B53" s="18" t="str">
        <f>IFERROR(B51/B39,"")</f>
        <v/>
      </c>
      <c r="C53" s="18">
        <f>IFERROR(C51/C39,"")</f>
        <v>0.210757055086952</v>
      </c>
      <c r="D53" s="18">
        <f>IF(C35&gt;0,IFERROR(D51/C39,""),"")</f>
        <v>0.210757055086952</v>
      </c>
    </row>
    <row r="54" spans="1:6" x14ac:dyDescent="0.25">
      <c r="A54" s="22" t="s">
        <v>123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124</v>
      </c>
      <c r="B56" s="14"/>
      <c r="C56" s="14"/>
      <c r="D56" s="14"/>
      <c r="E56" s="14"/>
      <c r="F56" s="14"/>
    </row>
    <row r="57" spans="1:6" x14ac:dyDescent="0.25">
      <c r="A57" s="25"/>
      <c r="B57" s="25" t="s">
        <v>90</v>
      </c>
      <c r="C57" s="25" t="s">
        <v>91</v>
      </c>
      <c r="D57" s="25"/>
      <c r="E57" s="25"/>
      <c r="F57" s="25" t="s">
        <v>92</v>
      </c>
    </row>
    <row r="58" spans="1:6" x14ac:dyDescent="0.25">
      <c r="A58" s="22" t="s">
        <v>125</v>
      </c>
      <c r="B58" s="22"/>
      <c r="C58" s="24">
        <f>IF(C35&gt;0,C39-D51,"")</f>
        <v>242531.20000000001</v>
      </c>
    </row>
    <row r="59" spans="1:6" x14ac:dyDescent="0.25">
      <c r="A59" s="22" t="s">
        <v>126</v>
      </c>
      <c r="B59" s="18" t="str">
        <f>IFERROR(B58/B22,"")</f>
        <v/>
      </c>
      <c r="C59" s="18" t="str">
        <f>IF(C58="","",IFERROR(C58/B22,""))</f>
        <v/>
      </c>
      <c r="F59" s="2" t="s">
        <v>127</v>
      </c>
    </row>
    <row r="60" spans="1:6" x14ac:dyDescent="0.25">
      <c r="A60" t="s">
        <v>128</v>
      </c>
      <c r="B60" s="19" t="str">
        <f>IFERROR(B22/B35,"")</f>
        <v/>
      </c>
      <c r="C60" s="19">
        <f>IF(C35&gt;0,IFERROR(B22/C35,""),"")</f>
        <v>0</v>
      </c>
    </row>
    <row r="61" spans="1:6" x14ac:dyDescent="0.25">
      <c r="A61" t="s">
        <v>129</v>
      </c>
      <c r="B61" s="8">
        <f>IFERROR(B58/B7,"")</f>
        <v>0</v>
      </c>
      <c r="C61" s="8">
        <f>IF(C58="","",IFERROR(C58/B7,""))</f>
        <v>20210.933333333334</v>
      </c>
    </row>
    <row r="63" spans="1:6" x14ac:dyDescent="0.25">
      <c r="A63" s="13" t="s">
        <v>130</v>
      </c>
      <c r="B63" s="14"/>
      <c r="C63" s="14"/>
      <c r="D63" s="14"/>
      <c r="E63" s="14"/>
      <c r="F63" s="14"/>
    </row>
    <row r="64" spans="1:6" x14ac:dyDescent="0.25">
      <c r="A64" t="s">
        <v>131</v>
      </c>
      <c r="B64" s="8">
        <f>IFERROR(B22*Assumptions!$B$20,"")</f>
        <v>0</v>
      </c>
    </row>
    <row r="65" spans="1:2" x14ac:dyDescent="0.25">
      <c r="A65" t="s">
        <v>132</v>
      </c>
      <c r="B65" s="8">
        <f>IF(C58="","",IFERROR(PV(Assumptions!$B$22/12,Assumptions!$B$23*12,-C58/Assumptions!$B$21/12),""))</f>
        <v>2626002.1086741714</v>
      </c>
    </row>
    <row r="66" spans="1:2" x14ac:dyDescent="0.25">
      <c r="A66" s="22" t="s">
        <v>133</v>
      </c>
      <c r="B66" s="8">
        <f>IFERROR(MIN(B64,B65),"")</f>
        <v>0</v>
      </c>
    </row>
    <row r="67" spans="1:2" x14ac:dyDescent="0.25">
      <c r="A67" t="s">
        <v>134</v>
      </c>
      <c r="B67" s="8">
        <f>IFERROR(B22-B66,"")</f>
        <v>0</v>
      </c>
    </row>
    <row r="68" spans="1:2" x14ac:dyDescent="0.25">
      <c r="A68" t="s">
        <v>135</v>
      </c>
      <c r="B68" s="8">
        <f>IFERROR(-PMT(Assumptions!$B$22/12,Assumptions!$B$23*12,B66)*12,"")</f>
        <v>0</v>
      </c>
    </row>
    <row r="69" spans="1:2" x14ac:dyDescent="0.25">
      <c r="A69" t="s">
        <v>136</v>
      </c>
      <c r="B69" s="19" t="str">
        <f>IFERROR(C58/B68,"")</f>
        <v/>
      </c>
    </row>
    <row r="70" spans="1:2" x14ac:dyDescent="0.25">
      <c r="A70" t="s">
        <v>137</v>
      </c>
      <c r="B70" s="8">
        <f>IFERROR(C58-B68,"")</f>
        <v>242531.20000000001</v>
      </c>
    </row>
    <row r="71" spans="1:2" x14ac:dyDescent="0.25">
      <c r="A71" t="s">
        <v>138</v>
      </c>
      <c r="B71" s="18" t="str">
        <f>IFERROR(B70/B67,"")</f>
        <v/>
      </c>
    </row>
    <row r="73" spans="1:2" x14ac:dyDescent="0.25">
      <c r="A73" s="2" t="s">
        <v>139</v>
      </c>
    </row>
  </sheetData>
  <hyperlinks>
    <hyperlink ref="A3" r:id="rId1" xr:uid="{6DEEBC09-C634-4525-953B-015B13FDD489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36 1814 Federal Ave</vt:lpstr>
      <vt:lpstr>'36 1814 Federal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2026-09-17T19:27:19Z</dcterms:created>
  <dcterms:modified xsi:type="dcterms:W3CDTF">2026-09-17T19:27:22Z</dcterms:modified>
</cp:coreProperties>
</file>