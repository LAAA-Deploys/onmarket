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6A8DA51-18C4-4ECD-9EE0-3E3CFBDC10A5}" xr6:coauthVersionLast="47" xr6:coauthVersionMax="47" xr10:uidLastSave="{00000000-0000-0000-0000-000000000000}"/>
  <bookViews>
    <workbookView xWindow="-120" yWindow="-120" windowWidth="29040" windowHeight="15720" activeTab="1" xr2:uid="{D5539255-B69F-4543-B41B-0450F8F154A0}"/>
  </bookViews>
  <sheets>
    <sheet name="Assumptions" sheetId="1" r:id="rId1"/>
    <sheet name="22 222-228 Idaho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B54" i="2"/>
  <c r="B53" i="2"/>
  <c r="E52" i="2"/>
  <c r="C52" i="2"/>
  <c r="D52" i="2" s="1"/>
  <c r="C51" i="2"/>
  <c r="D51" i="2" s="1"/>
  <c r="E51" i="2" s="1"/>
  <c r="C50" i="2"/>
  <c r="D50" i="2" s="1"/>
  <c r="E50" i="2" s="1"/>
  <c r="D49" i="2"/>
  <c r="E49" i="2" s="1"/>
  <c r="C49" i="2"/>
  <c r="C48" i="2"/>
  <c r="D48" i="2" s="1"/>
  <c r="E48" i="2" s="1"/>
  <c r="C46" i="2"/>
  <c r="D46" i="2" s="1"/>
  <c r="E46" i="2" s="1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E33" i="2" l="1"/>
  <c r="C37" i="2" s="1"/>
  <c r="B55" i="2"/>
  <c r="B60" i="2"/>
  <c r="E45" i="2"/>
  <c r="B61" i="2" l="1"/>
  <c r="B63" i="2"/>
  <c r="C39" i="2"/>
  <c r="C40" i="2"/>
  <c r="C62" i="2"/>
  <c r="C41" i="2" l="1"/>
  <c r="C47" i="2" l="1"/>
  <c r="D47" i="2" l="1"/>
  <c r="C53" i="2"/>
  <c r="C55" i="2" l="1"/>
  <c r="C54" i="2"/>
  <c r="E47" i="2"/>
  <c r="D53" i="2"/>
  <c r="D54" i="2" l="1"/>
  <c r="B56" i="2"/>
  <c r="E53" i="2"/>
  <c r="D55" i="2"/>
  <c r="C60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<sst xmlns="http://schemas.openxmlformats.org/spreadsheetml/2006/main" count="151" uniqueCount="142">
  <si>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</si>
  <si>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</si>
  <si>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</si>
  <si>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</si>
  <si>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</si>
  <si>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</si>
  <si>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</si>
  <si>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</si>
  <si>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</si>
  <si>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</si>
  <si>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</si>
  <si>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</si>
  <si>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</si>
  <si>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</si>
  <si>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</si>
  <si>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</si>
  <si>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</si>
  <si>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</si>
  <si>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</si>
  <si>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</si>
  <si>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</si>
  <si>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</si>
  <si>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</si>
  <si>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</si>
  <si>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</si>
  <si>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</si>
  <si>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</si>
  <si>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</si>
  <si>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</si>
  <si>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</si>
  <si>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</si>
  <si>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</si>
  <si>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</si>
  <si>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</si>
  <si>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</si>
  <si>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</si>
  <si>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</si>
  <si>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</si>
  <si>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</si>
  <si>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</si>
  <si>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</si>
  <si>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</si>
  <si>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</si>
  <si>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</si>
  <si>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</si>
  <si>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</si>
  <si>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</si>
  <si>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222-228 Idaho Ave</t>
  </si>
  <si>
    <t>Santa Monica, CA 90403  |  Santa Monica</t>
  </si>
  <si>
    <t>LoopNet listing</t>
  </si>
  <si>
    <t>Data pulled 9/17/2026 from LoopNet public listing + rent roll and expenses read from the listing broker's OM (Lee &amp; Associates, Berzack, rent roll 9/1/2026)</t>
  </si>
  <si>
    <t>NOTE: Two parcels 222 &amp; 228 Idaho | OM: Unit-by-unit rents sum to exactly $50,436/mo; OM annual $605,232 = 12 x $50,436 (matches).; Unit 228-3 (1+1) is VACANT; its $2,800 is the OM's asking rent, included in current GSR per OM.; Three units are owner occupied and 'can be delivered vacant' (228-1 $2,750, 228-6 $3,595, 228-10 $2,800); the O | OM: Unit-by-unit rents sum to exactly $50,436/mo; OM annual $605,232 = 12 x $50,436 (matches).; Unit 228-3 (1+1) is VACANT; its $2,800 is the OM's asking rent, included in current GSR per OM.; Three units are owner occupied and 'can be delivered vacant' (228-1 $2,750, 228-6 $3,595, 228-10 $2,800); the O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</si>
  <si>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</si>
  <si>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</si>
  <si>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</si>
  <si>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</si>
  <si>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</si>
  <si>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</si>
  <si>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</si>
  <si>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</si>
  <si>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</si>
  <si>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SMR4YY</t>
  </si>
  <si>
    <t>Occupancy per listing</t>
  </si>
  <si>
    <t>APN</t>
  </si>
  <si>
    <t>4292-023-001</t>
  </si>
  <si>
    <t>Assessed value (current)</t>
  </si>
  <si>
    <t>Listing broker(s)</t>
  </si>
  <si>
    <t>Warren Berzack</t>
  </si>
  <si>
    <t>Date on market</t>
  </si>
  <si>
    <t>8/26/2026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</si>
  <si>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</si>
  <si>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</si>
  <si>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</si>
  <si>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</si>
  <si>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</si>
  <si>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</si>
  <si>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</si>
  <si>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</si>
  <si>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</si>
  <si>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</si>
  <si>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</si>
  <si>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</si>
  <si>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</si>
  <si>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</si>
  <si>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</si>
  <si>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/ 1 Ba  [OM market/asking rent 2395; OM avg shown 2,298]</t>
  </si>
  <si>
    <t>OM rent roll, current in-place rents (OM rent roll 9/1/2026)</t>
  </si>
  <si>
    <t>1 Bd / 1 Ba  [OM market/asking rent 2775; OM avg shown 2,465; includes vac]</t>
  </si>
  <si>
    <t>2 Bd / 2 Ba  [OM market/asking rent 3595; OM avg shown 3,204; 228-6 owner-]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</si>
  <si>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</si>
  <si>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</si>
  <si>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</si>
  <si>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</si>
  <si>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</si>
  <si>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</si>
  <si>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stated current scheduled rent (OM rent roll 9/1/2026); LAAA column: OM rent roll by unit type</t>
  </si>
  <si>
    <t>Other income (laundry, parking, RUBS)</t>
  </si>
  <si>
    <t>Gross scheduled income</t>
  </si>
  <si>
    <t>Vacancy &amp; credit loss</t>
  </si>
  <si>
    <t>OM 3.0%;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</si>
  <si>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</si>
  <si>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</si>
  <si>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</si>
  <si>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</si>
  <si>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</si>
  <si>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</si>
  <si>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</si>
  <si>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</si>
  <si>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</si>
  <si>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</si>
  <si>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</si>
  <si>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</si>
  <si>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</si>
  <si>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</si>
  <si>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city; OM utilities + water/sewer + gas/electric + trash combined</t>
  </si>
  <si>
    <t>Contract services (landscape, pest, cleaning)</t>
  </si>
  <si>
    <t>per unit</t>
  </si>
  <si>
    <t>Admin / legal / licenses / rent registration / other OM items</t>
  </si>
  <si>
    <t>OM other items: On-Site Management 14,400; S.M. Unit Registration 4,800; Miscellaneous ($100/unit) 2,000</t>
  </si>
  <si>
    <t>Replacement reserves</t>
  </si>
  <si>
    <t>Total operating expenses</t>
  </si>
  <si>
    <t>OM line items from OM (OM rent roll 9/1/2026); basis: OM 'Estimated Annual Expenses' (broker estimates, same $217,743 applied to both Current and Market columns). Taxes est. 1.25% of price; R&amp;M $2/SF on 15,640 SF; off-site management 4% of GOI ($631,632); utilities is a single combined line. Vacancy reserve 3% of GOI ($18,949) is shown as a deduction to EGI, not an expense line. Line items sum to $217,743 exactly.; OM total 217,743</t>
  </si>
  <si>
    <t>Expenses per unit</t>
  </si>
  <si>
    <t>Expenses as % of EGI</t>
  </si>
  <si>
    <t>OM expense test</t>
  </si>
  <si>
    <t>NOI &amp; RETURNS</t>
  </si>
  <si>
    <t>Net operating income</t>
  </si>
  <si>
    <t>OM states NOI 394,940 / cap 5.07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</si>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</sst>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\$#,##0.00"/>
    <numFmt numFmtId="166" formatCode="0.00&quot;x&quot;"/>
    <numFmt numFmtId="167" formatCode="&quot;$&quot;#,##0;\(&quot;$&quot;#,##0\);&quot;-&quot;"/>
  </numFmts>
  <fonts count="12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  <family val="2"/>
    </font>
    <font>
      <b/>
      <sz val="10"/>
      <color rgb="FFFFFFFF"/>
      <name val="Calibri"/>
    </font>
    <font>
      <i/>
      <sz val="9"/>
      <color rgb="FF595959"/>
      <name val="Calibri"/>
      <family val="2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2CC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7" fontId="0" fillId="5" borderId="1" xfId="0" applyNumberFormat="1" applyFill="1" applyBorder="1"/>
    <xf numFmtId="167" fontId="0" fillId="0" borderId="0" xfId="0" applyNumberForma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164" fontId="10" fillId="0" borderId="0" xfId="0" applyNumberFormat="1" applyFont="1"/>
    <xf numFmtId="0" fontId="8" fillId="4" borderId="0" xfId="0" applyFont="1" applyFill="1"/>
    <xf numFmtId="164" fontId="0" fillId="6" borderId="0" xfId="0" applyNumberForma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247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95909FD-955F-408B-9F94-8CAF0976615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247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28-Idaho-Ave-Santa-Monica-CA/418858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C3AA-E721-4D18-85F3-44C369FA02A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19C1-5B8F-45E6-94E8-9F3DDDCBF039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20</v>
      </c>
    </row>
    <row r="8" spans="1:3" x14ac:dyDescent="0.25">
      <c r="A8" t="s">
        <v>54</v>
      </c>
      <c r="B8" s="15">
        <v>15006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1954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9991928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7795000</v>
      </c>
    </row>
    <row r="23" spans="1:6" x14ac:dyDescent="0.25">
      <c r="A23" t="s">
        <v>74</v>
      </c>
      <c r="B23" s="8">
        <f>IFERROR(B22/B7,"")</f>
        <v>389750</v>
      </c>
    </row>
    <row r="24" spans="1:6" x14ac:dyDescent="0.25">
      <c r="A24" t="s">
        <v>75</v>
      </c>
      <c r="B24" s="17">
        <f>IFERROR(B22/B8,"")</f>
        <v>519.45888311342128</v>
      </c>
    </row>
    <row r="25" spans="1:6" x14ac:dyDescent="0.25">
      <c r="A25" t="s">
        <v>76</v>
      </c>
      <c r="B25" s="18">
        <v>5.0700000000000002E-2</v>
      </c>
    </row>
    <row r="26" spans="1:6" x14ac:dyDescent="0.25">
      <c r="A26" t="s">
        <v>77</v>
      </c>
      <c r="B26" s="19">
        <v>12.34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2</v>
      </c>
      <c r="C30" s="21">
        <v>2298</v>
      </c>
      <c r="D30" s="22">
        <f>B30*C30</f>
        <v>4596</v>
      </c>
      <c r="E30" s="22">
        <f>D30*12</f>
        <v>55152</v>
      </c>
      <c r="F30" s="23" t="s">
        <v>86</v>
      </c>
    </row>
    <row r="31" spans="1:6" x14ac:dyDescent="0.25">
      <c r="A31" t="s">
        <v>87</v>
      </c>
      <c r="B31" s="15">
        <v>16</v>
      </c>
      <c r="C31" s="21">
        <v>2465</v>
      </c>
      <c r="D31" s="22">
        <f>B31*C31</f>
        <v>39440</v>
      </c>
      <c r="E31" s="22">
        <f>D31*12</f>
        <v>473280</v>
      </c>
      <c r="F31" s="23" t="s">
        <v>86</v>
      </c>
    </row>
    <row r="32" spans="1:6" x14ac:dyDescent="0.25">
      <c r="A32" t="s">
        <v>88</v>
      </c>
      <c r="B32" s="15">
        <v>2</v>
      </c>
      <c r="C32" s="21">
        <v>3204</v>
      </c>
      <c r="D32" s="22">
        <f>B32*C32</f>
        <v>6408</v>
      </c>
      <c r="E32" s="22">
        <f>D32*12</f>
        <v>76896</v>
      </c>
      <c r="F32" s="23" t="s">
        <v>86</v>
      </c>
    </row>
    <row r="33" spans="1:6" x14ac:dyDescent="0.25">
      <c r="A33" s="24" t="s">
        <v>89</v>
      </c>
      <c r="B33" s="25">
        <f>SUM(B30:B32)</f>
        <v>20</v>
      </c>
      <c r="C33" s="26">
        <f>IFERROR(D33/B33,"")</f>
        <v>2522.1999999999998</v>
      </c>
      <c r="D33" s="26">
        <f>SUM(D30:D32)</f>
        <v>50444</v>
      </c>
      <c r="E33" s="26">
        <f>SUM(E30:E32)</f>
        <v>605328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7"/>
      <c r="B36" s="27" t="s">
        <v>91</v>
      </c>
      <c r="C36" s="27" t="s">
        <v>92</v>
      </c>
      <c r="D36" s="27"/>
      <c r="E36" s="27"/>
      <c r="F36" s="27" t="s">
        <v>93</v>
      </c>
    </row>
    <row r="37" spans="1:6" x14ac:dyDescent="0.25">
      <c r="A37" t="s">
        <v>94</v>
      </c>
      <c r="B37" s="22">
        <v>605232</v>
      </c>
      <c r="C37" s="8">
        <f>E33</f>
        <v>605328</v>
      </c>
      <c r="F37" s="2" t="s">
        <v>95</v>
      </c>
    </row>
    <row r="38" spans="1:6" x14ac:dyDescent="0.25">
      <c r="A38" t="s">
        <v>96</v>
      </c>
      <c r="B38" s="8">
        <v>26400</v>
      </c>
      <c r="C38" s="4">
        <v>26400</v>
      </c>
    </row>
    <row r="39" spans="1:6" x14ac:dyDescent="0.25">
      <c r="A39" s="24" t="s">
        <v>97</v>
      </c>
      <c r="B39" s="8">
        <f>B37+B38</f>
        <v>631632</v>
      </c>
      <c r="C39" s="8">
        <f>C37+C38</f>
        <v>631728</v>
      </c>
    </row>
    <row r="40" spans="1:6" x14ac:dyDescent="0.25">
      <c r="A40" t="s">
        <v>98</v>
      </c>
      <c r="B40" s="8">
        <f>-B37*0.03</f>
        <v>-18156.96</v>
      </c>
      <c r="C40" s="8">
        <f>-C37*Assumptions!$B$3</f>
        <v>-18159.84</v>
      </c>
      <c r="F40" s="2" t="s">
        <v>99</v>
      </c>
    </row>
    <row r="41" spans="1:6" x14ac:dyDescent="0.25">
      <c r="A41" s="24" t="s">
        <v>100</v>
      </c>
      <c r="B41" s="26">
        <f>B39+B40</f>
        <v>613475.04</v>
      </c>
      <c r="C41" s="26">
        <f>C39+C40</f>
        <v>613568.16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7" t="s">
        <v>102</v>
      </c>
      <c r="B44" s="27" t="s">
        <v>91</v>
      </c>
      <c r="C44" s="27" t="s">
        <v>103</v>
      </c>
      <c r="D44" s="27" t="s">
        <v>92</v>
      </c>
      <c r="E44" s="27" t="s">
        <v>104</v>
      </c>
      <c r="F44" s="27" t="s">
        <v>93</v>
      </c>
    </row>
    <row r="45" spans="1:6" x14ac:dyDescent="0.25">
      <c r="A45" t="s">
        <v>105</v>
      </c>
      <c r="B45" s="22">
        <v>97438</v>
      </c>
      <c r="C45" s="8">
        <f>B22*Assumptions!$B$16</f>
        <v>89642.5</v>
      </c>
      <c r="D45" s="28">
        <f>C45</f>
        <v>89642.5</v>
      </c>
      <c r="E45" s="8">
        <f t="shared" ref="E45:E53" si="0">IF(ISNUMBER(B45),D45-B45,"")</f>
        <v>-7795.5</v>
      </c>
      <c r="F45" s="2" t="s">
        <v>106</v>
      </c>
    </row>
    <row r="46" spans="1:6" x14ac:dyDescent="0.25">
      <c r="A46" t="s">
        <v>107</v>
      </c>
      <c r="B46" s="22">
        <v>18498</v>
      </c>
      <c r="C46" s="8">
        <f>B7*Assumptions!$B$5+B8*Assumptions!$B$6</f>
        <v>19006</v>
      </c>
      <c r="D46" s="28">
        <f t="shared" ref="D46:D52" si="1">IF(ISNUMBER(B46),MAX(B46,C46),C46)</f>
        <v>19006</v>
      </c>
      <c r="E46" s="8">
        <f t="shared" si="0"/>
        <v>508</v>
      </c>
      <c r="F46" s="2" t="s">
        <v>108</v>
      </c>
    </row>
    <row r="47" spans="1:6" x14ac:dyDescent="0.25">
      <c r="A47" t="s">
        <v>109</v>
      </c>
      <c r="B47" s="22">
        <v>25265</v>
      </c>
      <c r="C47" s="8">
        <f>C41*Assumptions!$B$4</f>
        <v>30678.408000000003</v>
      </c>
      <c r="D47" s="28">
        <f t="shared" si="1"/>
        <v>30678.408000000003</v>
      </c>
      <c r="E47" s="8">
        <f t="shared" si="0"/>
        <v>5413.4080000000031</v>
      </c>
      <c r="F47" s="2" t="s">
        <v>110</v>
      </c>
    </row>
    <row r="48" spans="1:6" x14ac:dyDescent="0.25">
      <c r="A48" t="s">
        <v>111</v>
      </c>
      <c r="B48" s="22">
        <v>31280</v>
      </c>
      <c r="C48" s="8">
        <f>B7*Assumptions!$B$7</f>
        <v>24000</v>
      </c>
      <c r="D48" s="28">
        <f t="shared" si="1"/>
        <v>31280</v>
      </c>
      <c r="E48" s="8">
        <f t="shared" si="0"/>
        <v>0</v>
      </c>
      <c r="F48" s="2" t="s">
        <v>112</v>
      </c>
    </row>
    <row r="49" spans="1:6" x14ac:dyDescent="0.25">
      <c r="A49" t="s">
        <v>113</v>
      </c>
      <c r="B49" s="22">
        <v>20882</v>
      </c>
      <c r="C49" s="8">
        <f>B7*Assumptions!$B$10</f>
        <v>36000</v>
      </c>
      <c r="D49" s="28">
        <f t="shared" si="1"/>
        <v>36000</v>
      </c>
      <c r="E49" s="8">
        <f t="shared" si="0"/>
        <v>15118</v>
      </c>
      <c r="F49" s="2" t="s">
        <v>114</v>
      </c>
    </row>
    <row r="50" spans="1:6" x14ac:dyDescent="0.25">
      <c r="A50" t="s">
        <v>115</v>
      </c>
      <c r="B50" s="22">
        <v>3180</v>
      </c>
      <c r="C50" s="8">
        <f>B7*Assumptions!$B$12</f>
        <v>8000</v>
      </c>
      <c r="D50" s="28">
        <f t="shared" si="1"/>
        <v>8000</v>
      </c>
      <c r="E50" s="8">
        <f t="shared" si="0"/>
        <v>4820</v>
      </c>
      <c r="F50" s="2" t="s">
        <v>116</v>
      </c>
    </row>
    <row r="51" spans="1:6" x14ac:dyDescent="0.25">
      <c r="A51" t="s">
        <v>117</v>
      </c>
      <c r="B51" s="22">
        <v>21200</v>
      </c>
      <c r="C51" s="8">
        <f>B7*Assumptions!$B$13</f>
        <v>5000</v>
      </c>
      <c r="D51" s="28">
        <f t="shared" si="1"/>
        <v>21200</v>
      </c>
      <c r="E51" s="8">
        <f t="shared" si="0"/>
        <v>0</v>
      </c>
      <c r="F51" s="2" t="s">
        <v>118</v>
      </c>
    </row>
    <row r="52" spans="1:6" x14ac:dyDescent="0.25">
      <c r="A52" t="s">
        <v>119</v>
      </c>
      <c r="B52" s="22"/>
      <c r="C52" s="8">
        <f>B7*Assumptions!$B$14</f>
        <v>6000</v>
      </c>
      <c r="D52" s="28">
        <f t="shared" si="1"/>
        <v>6000</v>
      </c>
      <c r="E52" s="8" t="str">
        <f t="shared" si="0"/>
        <v/>
      </c>
      <c r="F52" s="2" t="s">
        <v>116</v>
      </c>
    </row>
    <row r="53" spans="1:6" x14ac:dyDescent="0.25">
      <c r="A53" s="24" t="s">
        <v>120</v>
      </c>
      <c r="B53" s="26">
        <f>SUM(B45:B52)</f>
        <v>217743</v>
      </c>
      <c r="C53" s="26">
        <f>SUM(C45:C52)</f>
        <v>218326.908</v>
      </c>
      <c r="D53" s="26">
        <f>SUM(D45:D52)</f>
        <v>241806.908</v>
      </c>
      <c r="E53" s="26">
        <f t="shared" si="0"/>
        <v>24063.907999999996</v>
      </c>
      <c r="F53" s="2" t="s">
        <v>121</v>
      </c>
    </row>
    <row r="54" spans="1:6" x14ac:dyDescent="0.25">
      <c r="A54" t="s">
        <v>122</v>
      </c>
      <c r="B54" s="8">
        <f>IFERROR(B53/B7,"")</f>
        <v>10887.15</v>
      </c>
      <c r="C54" s="8">
        <f>IFERROR(C53/B7,"")</f>
        <v>10916.3454</v>
      </c>
      <c r="D54" s="8">
        <f>IFERROR(D53/B7,"")</f>
        <v>12090.3454</v>
      </c>
    </row>
    <row r="55" spans="1:6" x14ac:dyDescent="0.25">
      <c r="A55" t="s">
        <v>123</v>
      </c>
      <c r="B55" s="18">
        <f>IFERROR(B53/B41,"")</f>
        <v>0.35493375574008679</v>
      </c>
      <c r="C55" s="18">
        <f>IFERROR(C53/C41,"")</f>
        <v>0.3558315477126453</v>
      </c>
      <c r="D55" s="18">
        <f>IF(C37&gt;0,IFERROR(D53/C41,""),"")</f>
        <v>0.39409950477221634</v>
      </c>
    </row>
    <row r="56" spans="1:6" x14ac:dyDescent="0.25">
      <c r="A56" s="24" t="s">
        <v>124</v>
      </c>
      <c r="B56" s="29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7"/>
      <c r="B59" s="27" t="s">
        <v>91</v>
      </c>
      <c r="C59" s="27" t="s">
        <v>92</v>
      </c>
      <c r="D59" s="27"/>
      <c r="E59" s="27"/>
      <c r="F59" s="27" t="s">
        <v>93</v>
      </c>
    </row>
    <row r="60" spans="1:6" x14ac:dyDescent="0.25">
      <c r="A60" s="24" t="s">
        <v>126</v>
      </c>
      <c r="B60" s="26">
        <f>B41-B53</f>
        <v>395732.04000000004</v>
      </c>
      <c r="C60" s="26">
        <f>IF(C37&gt;0,C41-D53,"")</f>
        <v>371761.25200000004</v>
      </c>
      <c r="F60" t="s">
        <v>127</v>
      </c>
    </row>
    <row r="61" spans="1:6" x14ac:dyDescent="0.25">
      <c r="A61" s="24" t="s">
        <v>128</v>
      </c>
      <c r="B61" s="18">
        <f>IFERROR(B60/B22,"")</f>
        <v>5.0767420141116106E-2</v>
      </c>
      <c r="C61" s="18">
        <f>IF(C60="","",IFERROR(C60/B22,""))</f>
        <v>4.7692270942912125E-2</v>
      </c>
      <c r="F61" s="2" t="s">
        <v>129</v>
      </c>
    </row>
    <row r="62" spans="1:6" x14ac:dyDescent="0.25">
      <c r="A62" t="s">
        <v>130</v>
      </c>
      <c r="B62" s="19">
        <f>IFERROR(B22/B37,"")</f>
        <v>12.879358659158802</v>
      </c>
      <c r="C62" s="19">
        <f>IF(C37&gt;0,IFERROR(B22/C37,""),"")</f>
        <v>12.87731609970132</v>
      </c>
    </row>
    <row r="63" spans="1:6" x14ac:dyDescent="0.25">
      <c r="A63" t="s">
        <v>131</v>
      </c>
      <c r="B63" s="8">
        <f>IFERROR(B60/B7,"")</f>
        <v>19786.602000000003</v>
      </c>
      <c r="C63" s="8">
        <f>IF(C60="","",IFERROR(C60/B7,""))</f>
        <v>18588.062600000001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4677000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4025238.1206020089</v>
      </c>
    </row>
    <row r="68" spans="1:6" x14ac:dyDescent="0.25">
      <c r="A68" s="24" t="s">
        <v>135</v>
      </c>
      <c r="B68" s="8">
        <f>IFERROR(MIN(B66,B67),"")</f>
        <v>4025238.1206020089</v>
      </c>
    </row>
    <row r="69" spans="1:6" x14ac:dyDescent="0.25">
      <c r="A69" t="s">
        <v>136</v>
      </c>
      <c r="B69" s="8">
        <f>IFERROR(B22-B68,"")</f>
        <v>3769761.8793979911</v>
      </c>
    </row>
    <row r="70" spans="1:6" x14ac:dyDescent="0.25">
      <c r="A70" t="s">
        <v>137</v>
      </c>
      <c r="B70" s="8">
        <f>IFERROR(-PMT(Assumptions!$B$22/12,Assumptions!$B$23*12,B68)*12,"")</f>
        <v>297409.00159999909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74352.25040000095</v>
      </c>
    </row>
    <row r="73" spans="1:6" x14ac:dyDescent="0.25">
      <c r="A73" t="s">
        <v>140</v>
      </c>
      <c r="B73" s="18">
        <f>IFERROR(B72/B69,"")</f>
        <v>1.9723328098345184E-2</v>
      </c>
    </row>
    <row r="75" spans="1:6" x14ac:dyDescent="0.25">
      <c r="A75" s="2" t="s">
        <v>141</v>
      </c>
    </row>
  </sheetData>
  <hyperlinks>
    <hyperlink ref="A3" r:id="rId1" xr:uid="{B6CBA7C1-7645-41FE-BF40-55E46BB2E515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22 222-228 Idaho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2026-09-17T20:31:36Z</dcterms:created>
  <dcterms:modified xsi:type="dcterms:W3CDTF">2026-09-17T20:31:36Z</dcterms:modified>
</cp:coreProperties>
</file>