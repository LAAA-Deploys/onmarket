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EA4A7C8A-5E20-4913-9E39-9ACD1ED64CCE}" xr6:coauthVersionLast="47" xr6:coauthVersionMax="47" xr10:uidLastSave="{00000000-0000-0000-0000-000000000000}"/>
  <bookViews>
    <workbookView xWindow="-120" yWindow="-120" windowWidth="29040" windowHeight="15720" activeTab="1" xr2:uid="{7C0D3DDC-795D-49A9-97A7-2C3F8936CED9}"/>
  </bookViews>
  <sheets>
    <sheet name="Assumptions" sheetId="1" r:id="rId1"/>
    <sheet name="08 519-525 Santa Monica Blvd" sheetId="2" r:id="rId2"/>
  </sheets>
  <definedNames>
    <definedName name="_xlnm.Print_Area" localSheetId="1">'08 519-525 Santa Monica Blvd'!$A$1:$N$80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D50" i="2"/>
  <c r="C50" i="2"/>
  <c r="E49" i="2"/>
  <c r="D49" i="2"/>
  <c r="C49" i="2"/>
  <c r="E48" i="2"/>
  <c r="C48" i="2"/>
  <c r="D48" i="2" s="1"/>
  <c r="E47" i="2"/>
  <c r="E46" i="2"/>
  <c r="D46" i="2"/>
  <c r="C46" i="2"/>
  <c r="E45" i="2"/>
  <c r="D45" i="2"/>
  <c r="C45" i="2"/>
  <c r="B40" i="2"/>
  <c r="B39" i="2"/>
  <c r="B41" i="2" s="1"/>
  <c r="D32" i="2"/>
  <c r="C32" i="2" s="1"/>
  <c r="B32" i="2"/>
  <c r="D31" i="2"/>
  <c r="E31" i="2" s="1"/>
  <c r="D30" i="2"/>
  <c r="E30" i="2" s="1"/>
  <c r="B24" i="2"/>
  <c r="B23" i="2"/>
  <c r="E32" i="2" l="1"/>
  <c r="C37" i="2" s="1"/>
  <c r="B53" i="2"/>
  <c r="B60" i="2"/>
  <c r="B61" i="2" l="1"/>
  <c r="B63" i="2"/>
  <c r="B54" i="2"/>
  <c r="B55" i="2"/>
  <c r="C62" i="2"/>
  <c r="C40" i="2"/>
  <c r="C39" i="2"/>
  <c r="C41" i="2" s="1"/>
  <c r="C47" i="2" s="1"/>
  <c r="D47" i="2" l="1"/>
  <c r="D53" i="2" s="1"/>
  <c r="C53" i="2"/>
  <c r="C60" i="2"/>
  <c r="C55" i="2" l="1"/>
  <c r="C54" i="2"/>
  <c r="C61" i="2"/>
  <c r="B67" i="2"/>
  <c r="B68" i="2" s="1"/>
  <c r="C63" i="2"/>
  <c r="D54" i="2"/>
  <c r="E53" i="2"/>
  <c r="B56" i="2"/>
  <c r="D55" i="2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<sst xmlns="http://schemas.openxmlformats.org/spreadsheetml/2006/main" count="150" uniqueCount="142">
  <si>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</si>
  <si>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</si>
  <si>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</si>
  <si>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</si>
  <si>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</si>
  <si>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</si>
  <si>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</si>
  <si>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</si>
  <si>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</si>
  <si>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</si>
  <si>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</si>
  <si>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</si>
  <si>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</si>
  <si>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</si>
  <si>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</si>
  <si>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</si>
  <si>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</si>
  <si>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</si>
  <si>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</si>
  <si>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</si>
  <si>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</si>
  <si>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</si>
  <si>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</si>
  <si>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</si>
  <si>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</si>
  <si>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</si>
  <si>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</si>
  <si>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</si>
  <si>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</si>
  <si>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</si>
  <si>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</si>
  <si>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</si>
  <si>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</si>
  <si>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</si>
  <si>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</si>
  <si>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</si>
  <si>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</si>
  <si>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</si>
  <si>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</si>
  <si>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</si>
  <si>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</si>
  <si>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</si>
  <si>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</si>
  <si>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</si>
  <si>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</si>
  <si>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</si>
  <si>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</si>
  <si>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519-525 Santa Monica Blvd</t>
  </si>
  <si>
    <t>Santa Monica, CA 90401  |  Santa Monica</t>
  </si>
  <si>
    <t>LoopNet listing</t>
  </si>
  <si>
    <t>Data pulled 9/17/2026 from LoopNet public listing</t>
  </si>
  <si>
    <t>NOTE: 2012 mixed-use, 43 units (LoopNet) vs 40 in OM extraction</t>
  </si>
  <si>
    <t>PROPERTY</t>
  </si>
  <si>
    <t>Units</t>
  </si>
  <si>
    <t>Gross building SF</t>
  </si>
  <si>
    <t>Lot SF</t>
  </si>
  <si>
    <t>Lot acres</t>
  </si>
  <si>
    <t>Year built</t>
  </si>
  <si>
    <t>Stories</t>
  </si>
  <si>
    <t>5</t>
  </si>
  <si>
    <t>Zoning</t>
  </si>
  <si>
    <t>SMC3* - Commercial</t>
  </si>
  <si>
    <t>Occupancy per listing</t>
  </si>
  <si>
    <t>95%</t>
  </si>
  <si>
    <t>APN</t>
  </si>
  <si>
    <t>4291-010-012</t>
  </si>
  <si>
    <t>Assessed value (current)</t>
  </si>
  <si>
    <t>Listing broker(s)</t>
  </si>
  <si>
    <t>Tony Azzi</t>
  </si>
  <si>
    <t>Date on market</t>
  </si>
  <si>
    <t>3/30/2026</t>
  </si>
  <si>
    <t>Listing last updated</t>
  </si>
  <si>
    <t>8/31/2026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</si>
  <si>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</si>
  <si>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</si>
  <si>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</si>
  <si>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</si>
  <si>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</si>
  <si>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</si>
  <si>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</si>
  <si>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</si>
  <si>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</si>
  <si>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</si>
  <si>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</si>
  <si>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</si>
  <si>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</si>
  <si>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</si>
  <si>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Allocated from published GRM (price / GRM) using LAAA bed weights</t>
  </si>
  <si>
    <t>2 Bd / 2 Ba</t>
  </si>
  <si>
    <t>Total / weighted avg</t>
  </si>
  <si>
    <t>Unit mix rows total 40 vs 43 units in listing facts - verify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</si>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</sst>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1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  <font>
      <i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10" fillId="0" borderId="0" xfId="0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A15CB11-9307-4F6F-B9E9-E0011BD9459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525-Santa-Monica-Blvd-Santa-Monica-CA/3995941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C8A4-8398-48AF-804E-009D56EE8A97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890C-05F9-4734-BEA2-C4574483891C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43</v>
      </c>
    </row>
    <row r="8" spans="1:3" x14ac:dyDescent="0.25">
      <c r="A8" t="s">
        <v>54</v>
      </c>
      <c r="B8" s="15">
        <v>52954</v>
      </c>
    </row>
    <row r="9" spans="1:3" x14ac:dyDescent="0.25">
      <c r="A9" t="s">
        <v>55</v>
      </c>
      <c r="B9" s="15">
        <v>14810</v>
      </c>
    </row>
    <row r="10" spans="1:3" x14ac:dyDescent="0.25">
      <c r="A10" t="s">
        <v>56</v>
      </c>
      <c r="B10" s="16">
        <v>0.34</v>
      </c>
    </row>
    <row r="11" spans="1:3" x14ac:dyDescent="0.25">
      <c r="A11" t="s">
        <v>57</v>
      </c>
      <c r="B11">
        <v>2012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34724167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32900000</v>
      </c>
    </row>
    <row r="23" spans="1:6" x14ac:dyDescent="0.25">
      <c r="A23" t="s">
        <v>75</v>
      </c>
      <c r="B23" s="8">
        <f>IFERROR(B22/B7,"")</f>
        <v>765116.27906976745</v>
      </c>
    </row>
    <row r="24" spans="1:6" x14ac:dyDescent="0.25">
      <c r="A24" t="s">
        <v>76</v>
      </c>
      <c r="B24" s="17">
        <f>IFERROR(B22/B8,"")</f>
        <v>621.29395324243683</v>
      </c>
    </row>
    <row r="25" spans="1:6" x14ac:dyDescent="0.25">
      <c r="A25" t="s">
        <v>77</v>
      </c>
      <c r="B25" s="18">
        <v>4.9099999999999998E-2</v>
      </c>
    </row>
    <row r="26" spans="1:6" x14ac:dyDescent="0.25">
      <c r="A26" t="s">
        <v>78</v>
      </c>
      <c r="B26" s="19">
        <v>12.95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23</v>
      </c>
      <c r="C30" s="21">
        <v>4607</v>
      </c>
      <c r="D30" s="8">
        <f>B30*C30</f>
        <v>105961</v>
      </c>
      <c r="E30" s="8">
        <f>D30*12</f>
        <v>1271532</v>
      </c>
      <c r="F30" s="2" t="s">
        <v>87</v>
      </c>
    </row>
    <row r="31" spans="1:6" x14ac:dyDescent="0.25">
      <c r="A31" t="s">
        <v>88</v>
      </c>
      <c r="B31" s="15">
        <v>17</v>
      </c>
      <c r="C31" s="21">
        <v>6220</v>
      </c>
      <c r="D31" s="8">
        <f>B31*C31</f>
        <v>105740</v>
      </c>
      <c r="E31" s="8">
        <f>D31*12</f>
        <v>1268880</v>
      </c>
      <c r="F31" s="2" t="s">
        <v>87</v>
      </c>
    </row>
    <row r="32" spans="1:6" x14ac:dyDescent="0.25">
      <c r="A32" s="22" t="s">
        <v>89</v>
      </c>
      <c r="B32" s="23">
        <f>SUM(B30:B31)</f>
        <v>40</v>
      </c>
      <c r="C32" s="24">
        <f>IFERROR(D32/B32,"")</f>
        <v>5292.5249999999996</v>
      </c>
      <c r="D32" s="24">
        <f>SUM(D30:D31)</f>
        <v>211701</v>
      </c>
      <c r="E32" s="24">
        <f>SUM(E30:E31)</f>
        <v>2540412</v>
      </c>
    </row>
    <row r="33" spans="1:6" x14ac:dyDescent="0.25">
      <c r="A33" s="25" t="s">
        <v>90</v>
      </c>
    </row>
    <row r="35" spans="1:6" x14ac:dyDescent="0.25">
      <c r="A35" s="13" t="s">
        <v>91</v>
      </c>
      <c r="B35" s="14"/>
      <c r="C35" s="14"/>
      <c r="D35" s="14"/>
      <c r="E35" s="14"/>
      <c r="F35" s="14"/>
    </row>
    <row r="36" spans="1:6" x14ac:dyDescent="0.25">
      <c r="A36" s="26"/>
      <c r="B36" s="26" t="s">
        <v>92</v>
      </c>
      <c r="C36" s="26" t="s">
        <v>93</v>
      </c>
      <c r="D36" s="26"/>
      <c r="E36" s="26"/>
      <c r="F36" s="26" t="s">
        <v>94</v>
      </c>
    </row>
    <row r="37" spans="1:6" x14ac:dyDescent="0.25">
      <c r="A37" t="s">
        <v>95</v>
      </c>
      <c r="B37" s="8">
        <v>2540540.5405405411</v>
      </c>
      <c r="C37" s="8">
        <f>E32</f>
        <v>2540412</v>
      </c>
      <c r="F37" s="2" t="s">
        <v>96</v>
      </c>
    </row>
    <row r="38" spans="1:6" x14ac:dyDescent="0.25">
      <c r="A38" t="s">
        <v>97</v>
      </c>
      <c r="B38" s="8">
        <v>0</v>
      </c>
      <c r="C38" s="4">
        <v>0</v>
      </c>
    </row>
    <row r="39" spans="1:6" x14ac:dyDescent="0.25">
      <c r="A39" s="22" t="s">
        <v>98</v>
      </c>
      <c r="B39" s="8">
        <f>B37+B38</f>
        <v>2540540.5405405411</v>
      </c>
      <c r="C39" s="8">
        <f>C37+C38</f>
        <v>2540412</v>
      </c>
    </row>
    <row r="40" spans="1:6" x14ac:dyDescent="0.25">
      <c r="A40" t="s">
        <v>99</v>
      </c>
      <c r="B40" s="8">
        <f>-B37*0.03</f>
        <v>-76216.216216216228</v>
      </c>
      <c r="C40" s="8">
        <f>-C37*Assumptions!$B$3</f>
        <v>-76212.36</v>
      </c>
      <c r="F40" s="2" t="s">
        <v>100</v>
      </c>
    </row>
    <row r="41" spans="1:6" x14ac:dyDescent="0.25">
      <c r="A41" s="22" t="s">
        <v>101</v>
      </c>
      <c r="B41" s="24">
        <f>B39+B40</f>
        <v>2464324.3243243247</v>
      </c>
      <c r="C41" s="24">
        <f>C39+C40</f>
        <v>2464199.64</v>
      </c>
    </row>
    <row r="43" spans="1:6" x14ac:dyDescent="0.25">
      <c r="A43" s="13" t="s">
        <v>102</v>
      </c>
      <c r="B43" s="14"/>
      <c r="C43" s="14"/>
      <c r="D43" s="14"/>
      <c r="E43" s="14"/>
      <c r="F43" s="14"/>
    </row>
    <row r="44" spans="1:6" x14ac:dyDescent="0.25">
      <c r="A44" s="26" t="s">
        <v>103</v>
      </c>
      <c r="B44" s="26" t="s">
        <v>92</v>
      </c>
      <c r="C44" s="26" t="s">
        <v>104</v>
      </c>
      <c r="D44" s="26" t="s">
        <v>93</v>
      </c>
      <c r="E44" s="26" t="s">
        <v>105</v>
      </c>
      <c r="F44" s="26" t="s">
        <v>94</v>
      </c>
    </row>
    <row r="45" spans="1:6" x14ac:dyDescent="0.25">
      <c r="A45" t="s">
        <v>106</v>
      </c>
      <c r="B45" s="8"/>
      <c r="C45" s="8">
        <f>B22*Assumptions!$B$16</f>
        <v>378350</v>
      </c>
      <c r="D45" s="27">
        <f>C45</f>
        <v>378350</v>
      </c>
      <c r="E45" s="8" t="str">
        <f t="shared" ref="E45:E53" si="0">IF(ISNUMBER(B45),D45-B45,"")</f>
        <v/>
      </c>
      <c r="F45" s="2" t="s">
        <v>107</v>
      </c>
    </row>
    <row r="46" spans="1:6" x14ac:dyDescent="0.25">
      <c r="A46" t="s">
        <v>108</v>
      </c>
      <c r="B46" s="8"/>
      <c r="C46" s="8">
        <f>B7*Assumptions!$B$5+B8*Assumptions!$B$6</f>
        <v>61554</v>
      </c>
      <c r="D46" s="27">
        <f t="shared" ref="D46:D52" si="1">IF(ISNUMBER(B46),MAX(B46,C46),C46)</f>
        <v>61554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C41*Assumptions!$B$4</f>
        <v>123209.98200000002</v>
      </c>
      <c r="D47" s="27">
        <f t="shared" si="1"/>
        <v>123209.98200000002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B7*Assumptions!$B$8</f>
        <v>34400</v>
      </c>
      <c r="D48" s="27">
        <f t="shared" si="1"/>
        <v>34400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B7*Assumptions!$B$10</f>
        <v>77400</v>
      </c>
      <c r="D49" s="27">
        <f t="shared" si="1"/>
        <v>77400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B7*Assumptions!$B$12</f>
        <v>17200</v>
      </c>
      <c r="D50" s="27">
        <f t="shared" si="1"/>
        <v>17200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B7*Assumptions!$B$13</f>
        <v>10750</v>
      </c>
      <c r="D51" s="27">
        <f t="shared" si="1"/>
        <v>10750</v>
      </c>
      <c r="E51" s="8" t="str">
        <f t="shared" si="0"/>
        <v/>
      </c>
      <c r="F51" s="2" t="s">
        <v>119</v>
      </c>
    </row>
    <row r="52" spans="1:6" x14ac:dyDescent="0.25">
      <c r="A52" t="s">
        <v>120</v>
      </c>
      <c r="B52" s="8"/>
      <c r="C52" s="8">
        <f>B7*Assumptions!$B$14</f>
        <v>12900</v>
      </c>
      <c r="D52" s="27">
        <f t="shared" si="1"/>
        <v>12900</v>
      </c>
      <c r="E52" s="8" t="str">
        <f t="shared" si="0"/>
        <v/>
      </c>
      <c r="F52" s="2" t="s">
        <v>117</v>
      </c>
    </row>
    <row r="53" spans="1:6" x14ac:dyDescent="0.25">
      <c r="A53" s="22" t="s">
        <v>121</v>
      </c>
      <c r="B53" s="24">
        <f>B41-B22*B25</f>
        <v>848934.32432432473</v>
      </c>
      <c r="C53" s="24">
        <f>SUM(C45:C52)</f>
        <v>715763.98200000008</v>
      </c>
      <c r="D53" s="24">
        <f>SUM(D45:D52)</f>
        <v>715763.98200000008</v>
      </c>
      <c r="E53" s="24">
        <f t="shared" si="0"/>
        <v>-133170.34232432465</v>
      </c>
      <c r="F53" s="2" t="s">
        <v>122</v>
      </c>
    </row>
    <row r="54" spans="1:6" x14ac:dyDescent="0.25">
      <c r="A54" t="s">
        <v>123</v>
      </c>
      <c r="B54" s="8">
        <f>IFERROR(B53/B7,"")</f>
        <v>19742.658705216854</v>
      </c>
      <c r="C54" s="8">
        <f>IFERROR(C53/B7,"")</f>
        <v>16645.674000000003</v>
      </c>
      <c r="D54" s="8">
        <f>IFERROR(D53/B7,"")</f>
        <v>16645.674000000003</v>
      </c>
    </row>
    <row r="55" spans="1:6" x14ac:dyDescent="0.25">
      <c r="A55" t="s">
        <v>124</v>
      </c>
      <c r="B55" s="18">
        <f>IFERROR(B53/B41,"")</f>
        <v>0.34448969072164959</v>
      </c>
      <c r="C55" s="18">
        <f>IFERROR(C53/C41,"")</f>
        <v>0.29046509478428462</v>
      </c>
      <c r="D55" s="18">
        <f>IF(C37&gt;0,IFERROR(D53/C41,""),"")</f>
        <v>0.29046509478428462</v>
      </c>
    </row>
    <row r="56" spans="1:6" x14ac:dyDescent="0.25">
      <c r="A56" s="22" t="s">
        <v>125</v>
      </c>
      <c r="B56" s="12" t="str">
        <f>IF(ISNUMBER(B53),IF(D53&gt;B53*(1+Assumptions!$B$24),"OM EXPENSES LIGHT","OM expenses reasonable"),"OM expenses not published")</f>
        <v>OM expenses reasonable</v>
      </c>
    </row>
    <row r="58" spans="1:6" x14ac:dyDescent="0.25">
      <c r="A58" s="13" t="s">
        <v>126</v>
      </c>
      <c r="B58" s="14"/>
      <c r="C58" s="14"/>
      <c r="D58" s="14"/>
      <c r="E58" s="14"/>
      <c r="F58" s="14"/>
    </row>
    <row r="59" spans="1:6" x14ac:dyDescent="0.25">
      <c r="A59" s="26"/>
      <c r="B59" s="26" t="s">
        <v>92</v>
      </c>
      <c r="C59" s="26" t="s">
        <v>93</v>
      </c>
      <c r="D59" s="26"/>
      <c r="E59" s="26"/>
      <c r="F59" s="26" t="s">
        <v>94</v>
      </c>
    </row>
    <row r="60" spans="1:6" x14ac:dyDescent="0.25">
      <c r="A60" s="22" t="s">
        <v>127</v>
      </c>
      <c r="B60" s="24">
        <f>B41-B53</f>
        <v>1615390</v>
      </c>
      <c r="C60" s="24">
        <f>IF(C37&gt;0,C41-D53,"")</f>
        <v>1748435.6580000001</v>
      </c>
    </row>
    <row r="61" spans="1:6" x14ac:dyDescent="0.25">
      <c r="A61" s="22" t="s">
        <v>128</v>
      </c>
      <c r="B61" s="18">
        <f>IFERROR(B60/B22,"")</f>
        <v>4.9099999999999998E-2</v>
      </c>
      <c r="C61" s="18">
        <f>IF(C60="","",IFERROR(C60/B22,""))</f>
        <v>5.3143940972644375E-2</v>
      </c>
      <c r="F61" s="2" t="s">
        <v>129</v>
      </c>
    </row>
    <row r="62" spans="1:6" x14ac:dyDescent="0.25">
      <c r="A62" t="s">
        <v>130</v>
      </c>
      <c r="B62" s="19">
        <f>IFERROR(B22/B37,"")</f>
        <v>12.949999999999998</v>
      </c>
      <c r="C62" s="19">
        <f>IF(C37&gt;0,IFERROR(B22/C37,""),"")</f>
        <v>12.950655248046379</v>
      </c>
    </row>
    <row r="63" spans="1:6" x14ac:dyDescent="0.25">
      <c r="A63" t="s">
        <v>131</v>
      </c>
      <c r="B63" s="8">
        <f>IFERROR(B60/B7,"")</f>
        <v>37567.20930232558</v>
      </c>
      <c r="C63" s="8">
        <f>IF(C60="","",IFERROR(C60/B7,""))</f>
        <v>40661.294372093027</v>
      </c>
    </row>
    <row r="65" spans="1:6" x14ac:dyDescent="0.25">
      <c r="A65" s="13" t="s">
        <v>132</v>
      </c>
      <c r="B65" s="14"/>
      <c r="C65" s="14"/>
      <c r="D65" s="14"/>
      <c r="E65" s="14"/>
      <c r="F65" s="14"/>
    </row>
    <row r="66" spans="1:6" x14ac:dyDescent="0.25">
      <c r="A66" t="s">
        <v>133</v>
      </c>
      <c r="B66" s="8">
        <f>IFERROR(B22*Assumptions!$B$20,"")</f>
        <v>19740000</v>
      </c>
    </row>
    <row r="67" spans="1:6" x14ac:dyDescent="0.25">
      <c r="A67" t="s">
        <v>134</v>
      </c>
      <c r="B67" s="8">
        <f>IF(C60="","",IFERROR(PV(Assumptions!$B$22/12,Assumptions!$B$23*12,-C60/Assumptions!$B$21/12),""))</f>
        <v>18931154.939195912</v>
      </c>
    </row>
    <row r="68" spans="1:6" x14ac:dyDescent="0.25">
      <c r="A68" s="22" t="s">
        <v>135</v>
      </c>
      <c r="B68" s="8">
        <f>IFERROR(MIN(B66,B67),"")</f>
        <v>18931154.939195912</v>
      </c>
    </row>
    <row r="69" spans="1:6" x14ac:dyDescent="0.25">
      <c r="A69" t="s">
        <v>136</v>
      </c>
      <c r="B69" s="8">
        <f>IFERROR(B22-B68,"")</f>
        <v>13968845.060804088</v>
      </c>
    </row>
    <row r="70" spans="1:6" x14ac:dyDescent="0.25">
      <c r="A70" t="s">
        <v>137</v>
      </c>
      <c r="B70" s="8">
        <f>IFERROR(-PMT(Assumptions!$B$22/12,Assumptions!$B$23*12,B68)*12,"")</f>
        <v>1398748.5263999952</v>
      </c>
    </row>
    <row r="71" spans="1:6" x14ac:dyDescent="0.25">
      <c r="A71" t="s">
        <v>138</v>
      </c>
      <c r="B71" s="19">
        <f>IFERROR(C60/B70,"")</f>
        <v>1.2500000000000042</v>
      </c>
    </row>
    <row r="72" spans="1:6" x14ac:dyDescent="0.25">
      <c r="A72" t="s">
        <v>139</v>
      </c>
      <c r="B72" s="8">
        <f>IFERROR(C60-B70,"")</f>
        <v>349687.13160000485</v>
      </c>
    </row>
    <row r="73" spans="1:6" x14ac:dyDescent="0.25">
      <c r="A73" t="s">
        <v>140</v>
      </c>
      <c r="B73" s="18">
        <f>IFERROR(B72/B69,"")</f>
        <v>2.5033360315607642E-2</v>
      </c>
    </row>
    <row r="75" spans="1:6" x14ac:dyDescent="0.25">
      <c r="A75" s="2" t="s">
        <v>141</v>
      </c>
    </row>
  </sheetData>
  <hyperlinks>
    <hyperlink ref="A3" r:id="rId1" xr:uid="{5A24E3BA-B707-4754-9A45-F888EE75FEFF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08 519-525 Santa Monica Blvd</vt:lpstr>
      <vt:lpstr>'08 519-525 Santa Monica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2026-09-17T18:55:59Z</dcterms:created>
  <dcterms:modified xsi:type="dcterms:W3CDTF">2026-09-17T18:56:01Z</dcterms:modified>
</cp:coreProperties>
</file>