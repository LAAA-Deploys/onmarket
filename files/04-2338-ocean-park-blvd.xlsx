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5088AA3-6D8A-410C-A31D-9844442F4D3F}" xr6:coauthVersionLast="47" xr6:coauthVersionMax="47" xr10:uidLastSave="{00000000-0000-0000-0000-000000000000}"/>
  <bookViews>
    <workbookView xWindow="-120" yWindow="-120" windowWidth="29040" windowHeight="15720" activeTab="1" xr2:uid="{B6EA5E93-E961-4CBE-9A6D-0BDBD2D2C22B}"/>
  </bookViews>
  <sheets>
    <sheet name="Assumptions" sheetId="1" r:id="rId1"/>
    <sheet name="04 2338 Ocean Park Blvd" sheetId="2" r:id="rId2"/>
  </sheets>
  <definedNames>
    <definedName name="_xlnm.Print_Area" localSheetId="1">'04 2338 Ocean Park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40" i="2" s="1"/>
  <c r="B54" i="2" s="1"/>
  <c r="B38" i="2"/>
  <c r="E31" i="2"/>
  <c r="C36" i="2" s="1"/>
  <c r="D31" i="2"/>
  <c r="B31" i="2"/>
  <c r="C31" i="2" s="1"/>
  <c r="E30" i="2"/>
  <c r="D30" i="2"/>
  <c r="B24" i="2"/>
  <c r="B23" i="2"/>
  <c r="C59" i="2" l="1"/>
  <c r="C39" i="2"/>
  <c r="D54" i="2"/>
  <c r="C38" i="2"/>
  <c r="C61" i="2"/>
  <c r="C40" i="2" l="1"/>
  <c r="C46" i="2" s="1"/>
  <c r="C60" i="2"/>
  <c r="C62" i="2"/>
  <c r="B66" i="2"/>
  <c r="B67" i="2" s="1"/>
  <c r="B68" i="2" l="1"/>
  <c r="B69" i="2"/>
  <c r="D46" i="2"/>
  <c r="D52" i="2" s="1"/>
  <c r="D53" i="2" s="1"/>
  <c r="C52" i="2"/>
  <c r="C54" i="2" l="1"/>
  <c r="C53" i="2"/>
  <c r="B70" i="2"/>
  <c r="B71" i="2"/>
  <c r="B72" i="2" s="1"/>
</calcChain>
</file>

<file path=xl/sharedStrings.xml><?xml version="1.0" encoding="utf-8"?>
<sst xmlns="http://schemas.openxmlformats.org/spreadsheetml/2006/main" count="148" uniqueCount="141">
  <si>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</si>
  <si>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</si>
  <si>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</si>
  <si>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</si>
  <si>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</si>
  <si>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</si>
  <si>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</si>
  <si>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</si>
  <si>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</si>
  <si>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</si>
  <si>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</si>
  <si>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</si>
  <si>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</si>
  <si>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</si>
  <si>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</si>
  <si>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</si>
  <si>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</si>
  <si>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</si>
  <si>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</si>
  <si>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</si>
  <si>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</si>
  <si>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</si>
  <si>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</si>
  <si>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</si>
  <si>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</si>
  <si>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</si>
  <si>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</si>
  <si>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</si>
  <si>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</si>
  <si>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</si>
  <si>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</si>
  <si>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</si>
  <si>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</si>
  <si>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</si>
  <si>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</si>
  <si>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</si>
  <si>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</si>
  <si>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</si>
  <si>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</si>
  <si>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</si>
  <si>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</si>
  <si>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</si>
  <si>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</si>
  <si>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</si>
  <si>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</si>
  <si>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</si>
  <si>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</si>
  <si>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2338 Ocean Park Blvd</t>
  </si>
  <si>
    <t>Santa Monica, CA 90405  |  Santa Monica</t>
  </si>
  <si>
    <t>LoopNet listing</t>
  </si>
  <si>
    <t>Data pulled 9/17/2026 from LoopNet public listing</t>
  </si>
  <si>
    <t>NOTE: VACANT / entitlement play (0% occupied). No income setup; land-value deal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</si>
  <si>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</si>
  <si>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</si>
  <si>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</si>
  <si>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</si>
  <si>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</si>
  <si>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</si>
  <si>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</si>
  <si>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</si>
  <si>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</si>
  <si>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SMR3* - Restricted Density Multiple Dwelling One-Family Dwellings, Two-Family Dwellings, Apartment Houses, Multiple Dwellings, Home Occupations</t>
  </si>
  <si>
    <t>Occupancy per listing</t>
  </si>
  <si>
    <t>0%</t>
  </si>
  <si>
    <t>APN</t>
  </si>
  <si>
    <t>Multiple</t>
  </si>
  <si>
    <t>Assessed value (current)</t>
  </si>
  <si>
    <t>Listing broker(s)</t>
  </si>
  <si>
    <t>Luis Ruiz</t>
  </si>
  <si>
    <t>Date on market</t>
  </si>
  <si>
    <t>12/4/2025</t>
  </si>
  <si>
    <t>Listing last updated</t>
  </si>
  <si>
    <t>9/2/2026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</si>
  <si>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</si>
  <si>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</si>
  <si>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</si>
  <si>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</si>
  <si>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</si>
  <si>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</si>
  <si>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</si>
  <si>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</si>
  <si>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</si>
  <si>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</si>
  <si>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</si>
  <si>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</si>
  <si>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</si>
  <si>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(~150 SF)</t>
  </si>
  <si>
    <t>Income not underwritten: vacant entitlement / land-value deal</t>
  </si>
  <si>
    <t>Total / weighted avg</t>
  </si>
  <si>
    <t>Unit mix rows total 19 vs 23 units in listing facts - verify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</si>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</sst>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1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  <font>
      <i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10" fillId="0" borderId="0" xfId="0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57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F7E5504-B292-479E-AD84-046F6BC3AF7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57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338-Ocean-Park-Blvd-Santa-Monica-CA/414811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A6D8-1260-4E60-8BC0-00F3C443EFF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D81C-D2E6-48D4-A4FF-993E137A0CB6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23</v>
      </c>
    </row>
    <row r="8" spans="1:3" x14ac:dyDescent="0.25">
      <c r="A8" t="s">
        <v>54</v>
      </c>
      <c r="B8" s="15">
        <v>13800</v>
      </c>
    </row>
    <row r="9" spans="1:3" x14ac:dyDescent="0.25">
      <c r="A9" t="s">
        <v>55</v>
      </c>
      <c r="B9" s="15">
        <v>6970</v>
      </c>
    </row>
    <row r="10" spans="1:3" x14ac:dyDescent="0.25">
      <c r="A10" t="s">
        <v>56</v>
      </c>
      <c r="B10" s="16">
        <v>0.16</v>
      </c>
    </row>
    <row r="11" spans="1:3" x14ac:dyDescent="0.25">
      <c r="A11" t="s">
        <v>57</v>
      </c>
      <c r="B11">
        <v>1947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1554597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3800000</v>
      </c>
    </row>
    <row r="23" spans="1:6" x14ac:dyDescent="0.25">
      <c r="A23" t="s">
        <v>75</v>
      </c>
      <c r="B23" s="8">
        <f>IFERROR(B22/B7,"")</f>
        <v>165217.39130434784</v>
      </c>
    </row>
    <row r="24" spans="1:6" x14ac:dyDescent="0.25">
      <c r="A24" t="s">
        <v>76</v>
      </c>
      <c r="B24" s="17">
        <f>IFERROR(B22/B8,"")</f>
        <v>275.36231884057969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19</v>
      </c>
      <c r="C30" s="21"/>
      <c r="D30" s="8">
        <f>B30*C30</f>
        <v>0</v>
      </c>
      <c r="E30" s="8">
        <f>D30*12</f>
        <v>0</v>
      </c>
      <c r="F30" s="2" t="s">
        <v>87</v>
      </c>
    </row>
    <row r="31" spans="1:6" x14ac:dyDescent="0.25">
      <c r="A31" s="22" t="s">
        <v>88</v>
      </c>
      <c r="B31" s="23">
        <f>SUM(B30:B30)</f>
        <v>19</v>
      </c>
      <c r="C31" s="24">
        <f>IFERROR(D31/B31,"")</f>
        <v>0</v>
      </c>
      <c r="D31" s="24">
        <f>SUM(D30:D30)</f>
        <v>0</v>
      </c>
      <c r="E31" s="24">
        <f>SUM(E30:E30)</f>
        <v>0</v>
      </c>
    </row>
    <row r="32" spans="1:6" x14ac:dyDescent="0.25">
      <c r="A32" s="25" t="s">
        <v>89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6"/>
      <c r="B35" s="26" t="s">
        <v>91</v>
      </c>
      <c r="C35" s="26" t="s">
        <v>92</v>
      </c>
      <c r="D35" s="26"/>
      <c r="E35" s="26"/>
      <c r="F35" s="26" t="s">
        <v>93</v>
      </c>
    </row>
    <row r="36" spans="1:6" x14ac:dyDescent="0.25">
      <c r="A36" t="s">
        <v>94</v>
      </c>
      <c r="B36" s="8"/>
      <c r="C36" s="8">
        <f>E31</f>
        <v>0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0</v>
      </c>
      <c r="C38" s="8">
        <f>C36+C37</f>
        <v>0</v>
      </c>
    </row>
    <row r="39" spans="1:6" x14ac:dyDescent="0.25">
      <c r="A39" t="s">
        <v>98</v>
      </c>
      <c r="B39" s="8">
        <f>-B36*0.03</f>
        <v>0</v>
      </c>
      <c r="C39" s="8">
        <f>-C36*Assumptions!$B$3</f>
        <v>0</v>
      </c>
      <c r="F39" s="2" t="s">
        <v>99</v>
      </c>
    </row>
    <row r="40" spans="1:6" x14ac:dyDescent="0.25">
      <c r="A40" s="22" t="s">
        <v>100</v>
      </c>
      <c r="B40" s="24">
        <f>B38+B39</f>
        <v>0</v>
      </c>
      <c r="C40" s="24">
        <f>C38+C39</f>
        <v>0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6" t="s">
        <v>102</v>
      </c>
      <c r="B43" s="26" t="s">
        <v>91</v>
      </c>
      <c r="C43" s="26" t="s">
        <v>103</v>
      </c>
      <c r="D43" s="26" t="s">
        <v>92</v>
      </c>
      <c r="E43" s="26" t="s">
        <v>104</v>
      </c>
      <c r="F43" s="26" t="s">
        <v>93</v>
      </c>
    </row>
    <row r="44" spans="1:6" x14ac:dyDescent="0.25">
      <c r="A44" t="s">
        <v>105</v>
      </c>
      <c r="B44" s="8"/>
      <c r="C44" s="8">
        <f>B22*Assumptions!$B$16</f>
        <v>43700</v>
      </c>
      <c r="D44" s="27">
        <f>C44</f>
        <v>43700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18400</v>
      </c>
      <c r="D45" s="27">
        <f t="shared" ref="D45:D51" si="1">IF(ISNUMBER(B45),MAX(B45,C45),C45)</f>
        <v>18400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0</v>
      </c>
      <c r="D46" s="27">
        <f t="shared" si="1"/>
        <v>0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27600</v>
      </c>
      <c r="D47" s="27">
        <f t="shared" si="1"/>
        <v>27600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B7*Assumptions!$B$10</f>
        <v>41400</v>
      </c>
      <c r="D48" s="27">
        <f t="shared" si="1"/>
        <v>41400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9200</v>
      </c>
      <c r="D49" s="27">
        <f t="shared" si="1"/>
        <v>9200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5750</v>
      </c>
      <c r="D50" s="27">
        <f t="shared" si="1"/>
        <v>5750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6900</v>
      </c>
      <c r="D51" s="27">
        <f t="shared" si="1"/>
        <v>6900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2"/>
      <c r="C52" s="24">
        <f>SUM(C44:C51)</f>
        <v>152950</v>
      </c>
      <c r="D52" s="24">
        <f>SUM(D44:D51)</f>
        <v>152950</v>
      </c>
      <c r="E52" s="24" t="str">
        <f t="shared" si="0"/>
        <v/>
      </c>
      <c r="F52" s="2" t="s">
        <v>121</v>
      </c>
    </row>
    <row r="53" spans="1:6" x14ac:dyDescent="0.25">
      <c r="A53" t="s">
        <v>122</v>
      </c>
      <c r="B53" s="8">
        <f>IFERROR(B52/B7,"")</f>
        <v>0</v>
      </c>
      <c r="C53" s="8">
        <f>IFERROR(C52/B7,"")</f>
        <v>6650</v>
      </c>
      <c r="D53" s="8">
        <f>IFERROR(D52/B7,"")</f>
        <v>6650</v>
      </c>
    </row>
    <row r="54" spans="1:6" x14ac:dyDescent="0.25">
      <c r="A54" t="s">
        <v>123</v>
      </c>
      <c r="B54" s="18" t="str">
        <f>IFERROR(B52/B40,"")</f>
        <v/>
      </c>
      <c r="C54" s="18" t="str">
        <f>IFERROR(C52/C40,"")</f>
        <v/>
      </c>
      <c r="D54" s="18" t="str">
        <f>IF(C36&gt;0,IFERROR(D52/C40,""),"")</f>
        <v/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6"/>
      <c r="B58" s="26" t="s">
        <v>91</v>
      </c>
      <c r="C58" s="26" t="s">
        <v>92</v>
      </c>
      <c r="D58" s="26"/>
      <c r="E58" s="26"/>
      <c r="F58" s="26" t="s">
        <v>93</v>
      </c>
    </row>
    <row r="59" spans="1:6" x14ac:dyDescent="0.25">
      <c r="A59" s="22" t="s">
        <v>126</v>
      </c>
      <c r="B59" s="22"/>
      <c r="C59" s="24" t="str">
        <f>IF(C36&gt;0,C40-D52,"")</f>
        <v/>
      </c>
    </row>
    <row r="60" spans="1:6" x14ac:dyDescent="0.25">
      <c r="A60" s="22" t="s">
        <v>127</v>
      </c>
      <c r="B60" s="18">
        <f>IFERROR(B59/B22,"")</f>
        <v>0</v>
      </c>
      <c r="C60" s="18" t="str">
        <f>IF(C59="","",IFERROR(C59/B22,""))</f>
        <v/>
      </c>
      <c r="F60" s="2" t="s">
        <v>128</v>
      </c>
    </row>
    <row r="61" spans="1:6" x14ac:dyDescent="0.25">
      <c r="A61" t="s">
        <v>129</v>
      </c>
      <c r="B61" s="19" t="str">
        <f>IFERROR(B22/B36,"")</f>
        <v/>
      </c>
      <c r="C61" s="19" t="str">
        <f>IF(C36&gt;0,IFERROR(B22/C36,""),"")</f>
        <v/>
      </c>
    </row>
    <row r="62" spans="1:6" x14ac:dyDescent="0.25">
      <c r="A62" t="s">
        <v>130</v>
      </c>
      <c r="B62" s="8">
        <f>IFERROR(B59/B7,"")</f>
        <v>0</v>
      </c>
      <c r="C62" s="8" t="str">
        <f>IF(C59="","",IFERROR(C59/B7,""))</f>
        <v/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2280000</v>
      </c>
    </row>
    <row r="66" spans="1:2" x14ac:dyDescent="0.25">
      <c r="A66" t="s">
        <v>133</v>
      </c>
      <c r="B66" s="8" t="str">
        <f>IF(C59="","",IFERROR(PV(Assumptions!$B$22/12,Assumptions!$B$23*12,-C59/Assumptions!$B$21/12),""))</f>
        <v/>
      </c>
    </row>
    <row r="67" spans="1:2" x14ac:dyDescent="0.25">
      <c r="A67" s="22" t="s">
        <v>134</v>
      </c>
      <c r="B67" s="8">
        <f>IFERROR(MIN(B65,B66),"")</f>
        <v>2280000</v>
      </c>
    </row>
    <row r="68" spans="1:2" x14ac:dyDescent="0.25">
      <c r="A68" t="s">
        <v>135</v>
      </c>
      <c r="B68" s="8">
        <f>IFERROR(B22-B67,"")</f>
        <v>1520000</v>
      </c>
    </row>
    <row r="69" spans="1:2" x14ac:dyDescent="0.25">
      <c r="A69" t="s">
        <v>136</v>
      </c>
      <c r="B69" s="8">
        <f>IFERROR(-PMT(Assumptions!$B$22/12,Assumptions!$B$23*12,B67)*12,"")</f>
        <v>168460.22603666075</v>
      </c>
    </row>
    <row r="70" spans="1:2" x14ac:dyDescent="0.25">
      <c r="A70" t="s">
        <v>137</v>
      </c>
      <c r="B70" s="19" t="str">
        <f>IFERROR(C59/B69,"")</f>
        <v/>
      </c>
    </row>
    <row r="71" spans="1:2" x14ac:dyDescent="0.25">
      <c r="A71" t="s">
        <v>138</v>
      </c>
      <c r="B71" s="8" t="str">
        <f>IFERROR(C59-B69,"")</f>
        <v/>
      </c>
    </row>
    <row r="72" spans="1:2" x14ac:dyDescent="0.25">
      <c r="A72" t="s">
        <v>139</v>
      </c>
      <c r="B72" s="18" t="str">
        <f>IFERROR(B71/B68,"")</f>
        <v/>
      </c>
    </row>
    <row r="74" spans="1:2" x14ac:dyDescent="0.25">
      <c r="A74" s="2" t="s">
        <v>140</v>
      </c>
    </row>
  </sheetData>
  <hyperlinks>
    <hyperlink ref="A3" r:id="rId1" xr:uid="{4D6AE092-1294-41D8-B1B7-923752DF2764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04 2338 Ocean Park Blvd</vt:lpstr>
      <vt:lpstr>'04 2338 Ocean Park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2026-09-17T18:55:37Z</dcterms:created>
  <dcterms:modified xsi:type="dcterms:W3CDTF">2026-09-17T18:55:42Z</dcterms:modified>
</cp:coreProperties>
</file>