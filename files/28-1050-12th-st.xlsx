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7D15A705-B17C-401B-9D5F-3D5F8D62309D}" xr6:coauthVersionLast="47" xr6:coauthVersionMax="47" xr10:uidLastSave="{00000000-0000-0000-0000-000000000000}"/>
  <bookViews>
    <workbookView xWindow="-120" yWindow="-120" windowWidth="29040" windowHeight="15720" activeTab="1" xr2:uid="{57120C24-E84A-441E-8859-DDB27B15963D}"/>
  </bookViews>
  <sheets>
    <sheet name="Assumptions" sheetId="1" r:id="rId1"/>
    <sheet name="28 1050 12th St" sheetId="2" r:id="rId2"/>
  </sheets>
  <definedNames>
    <definedName name="_xlnm.Print_Area" localSheetId="1">'28 1050 12th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E32" i="2" l="1"/>
  <c r="C36" i="2" s="1"/>
  <c r="B52" i="2"/>
  <c r="B59" i="2"/>
  <c r="D44" i="2"/>
  <c r="B54" i="2" l="1"/>
  <c r="B53" i="2"/>
  <c r="B60" i="2"/>
  <c r="B62" i="2"/>
  <c r="C39" i="2"/>
  <c r="C61" i="2"/>
  <c r="C38" i="2"/>
  <c r="C40" i="2" s="1"/>
  <c r="C46" i="2" s="1"/>
  <c r="D46" i="2" l="1"/>
  <c r="D52" i="2" s="1"/>
  <c r="C52" i="2"/>
  <c r="C59" i="2"/>
  <c r="C54" i="2" l="1"/>
  <c r="C53" i="2"/>
  <c r="C60" i="2"/>
  <c r="B66" i="2"/>
  <c r="B67" i="2" s="1"/>
  <c r="C62" i="2"/>
  <c r="D53" i="2"/>
  <c r="B55" i="2"/>
  <c r="E52" i="2"/>
  <c r="D54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<sst xmlns="http://schemas.openxmlformats.org/spreadsheetml/2006/main" count="148" uniqueCount="140">
  <si>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</si>
  <si>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</si>
  <si>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</si>
  <si>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</si>
  <si>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</si>
  <si>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</si>
  <si>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</si>
  <si>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</si>
  <si>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</si>
  <si>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</si>
  <si>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</si>
  <si>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</si>
  <si>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</si>
  <si>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</si>
  <si>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</si>
  <si>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</si>
  <si>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</si>
  <si>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</si>
  <si>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</si>
  <si>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</si>
  <si>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</si>
  <si>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</si>
  <si>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</si>
  <si>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</si>
  <si>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</si>
  <si>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</si>
  <si>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</si>
  <si>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</si>
  <si>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</si>
  <si>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</si>
  <si>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</si>
  <si>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</si>
  <si>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</si>
  <si>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</si>
  <si>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</si>
  <si>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</si>
  <si>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</si>
  <si>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</si>
  <si>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</si>
  <si>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</si>
  <si>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</si>
  <si>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</si>
  <si>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</si>
  <si>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</si>
  <si>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</si>
  <si>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</si>
  <si>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</si>
  <si>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1050 12th St</t>
  </si>
  <si>
    <t>Santa Monica, CA 90403  |  Santa Monica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</si>
  <si>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</si>
  <si>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</si>
  <si>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</si>
  <si>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</si>
  <si>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</si>
  <si>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</si>
  <si>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</si>
  <si>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</si>
  <si>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</si>
  <si>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</si>
  <si>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</si>
  <si>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 - Multiple Residential</t>
  </si>
  <si>
    <t>Occupancy per listing</t>
  </si>
  <si>
    <t>100%</t>
  </si>
  <si>
    <t>APN</t>
  </si>
  <si>
    <t>4281-021-010</t>
  </si>
  <si>
    <t>Assessed value (current)</t>
  </si>
  <si>
    <t>Listing broker(s)</t>
  </si>
  <si>
    <t>Raymond Dominguez</t>
  </si>
  <si>
    <t>Date on market</t>
  </si>
  <si>
    <t>6/19/2025</t>
  </si>
  <si>
    <t>Listing last updated</t>
  </si>
  <si>
    <t>7/29/2026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</si>
  <si>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</si>
  <si>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</si>
  <si>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</si>
  <si>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</si>
  <si>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</si>
  <si>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</si>
  <si>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</si>
  <si>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</si>
  <si>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</si>
  <si>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</si>
  <si>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</si>
  <si>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</si>
  <si>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</si>
  <si>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(~700 SF)</t>
  </si>
  <si>
    <t>LoopNet published avg rent by unit type</t>
  </si>
  <si>
    <t>2 Bd / 1 Ba  (~700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</si>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</sst>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DF81922-7363-4DE4-81DD-25B583771AB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050-12th-St-Santa-Monica-CA/3632137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2245F-F101-48FA-8805-D86039EE8663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8DBCC-320D-4BEE-AEB5-F2CBB5191E53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7068</v>
      </c>
    </row>
    <row r="9" spans="1:3" x14ac:dyDescent="0.25">
      <c r="A9" t="s">
        <v>54</v>
      </c>
      <c r="B9" s="14">
        <v>7841</v>
      </c>
    </row>
    <row r="10" spans="1:3" x14ac:dyDescent="0.25">
      <c r="A10" t="s">
        <v>55</v>
      </c>
      <c r="B10" s="15">
        <v>0.18</v>
      </c>
    </row>
    <row r="11" spans="1:3" x14ac:dyDescent="0.25">
      <c r="A11" t="s">
        <v>56</v>
      </c>
      <c r="B11">
        <v>1957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2854036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3800000</v>
      </c>
    </row>
    <row r="23" spans="1:6" x14ac:dyDescent="0.25">
      <c r="A23" t="s">
        <v>74</v>
      </c>
      <c r="B23" s="8">
        <f>IFERROR(B22/B7,"")</f>
        <v>380000</v>
      </c>
    </row>
    <row r="24" spans="1:6" x14ac:dyDescent="0.25">
      <c r="A24" t="s">
        <v>75</v>
      </c>
      <c r="B24" s="16">
        <f>IFERROR(B22/B8,"")</f>
        <v>537.63440860215053</v>
      </c>
    </row>
    <row r="25" spans="1:6" x14ac:dyDescent="0.25">
      <c r="A25" t="s">
        <v>76</v>
      </c>
      <c r="B25" s="17">
        <v>4.3899999999999988E-2</v>
      </c>
    </row>
    <row r="26" spans="1:6" x14ac:dyDescent="0.25">
      <c r="A26" t="s">
        <v>77</v>
      </c>
      <c r="B26" s="18">
        <v>16.41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7</v>
      </c>
      <c r="C30" s="4">
        <v>1907</v>
      </c>
      <c r="D30" s="8">
        <f>B30*C30</f>
        <v>13349</v>
      </c>
      <c r="E30" s="8">
        <f>D30*12</f>
        <v>160188</v>
      </c>
      <c r="F30" s="2" t="s">
        <v>86</v>
      </c>
    </row>
    <row r="31" spans="1:6" x14ac:dyDescent="0.25">
      <c r="A31" t="s">
        <v>87</v>
      </c>
      <c r="B31" s="14">
        <v>3</v>
      </c>
      <c r="C31" s="4">
        <v>2495</v>
      </c>
      <c r="D31" s="8">
        <f>B31*C31</f>
        <v>7485</v>
      </c>
      <c r="E31" s="8">
        <f>D31*12</f>
        <v>89820</v>
      </c>
      <c r="F31" s="2" t="s">
        <v>86</v>
      </c>
    </row>
    <row r="32" spans="1:6" x14ac:dyDescent="0.25">
      <c r="A32" s="20" t="s">
        <v>88</v>
      </c>
      <c r="B32" s="21">
        <f>SUM(B30:B31)</f>
        <v>10</v>
      </c>
      <c r="C32" s="22">
        <f>IFERROR(D32/B32,"")</f>
        <v>2083.4</v>
      </c>
      <c r="D32" s="22">
        <f>SUM(D30:D31)</f>
        <v>20834</v>
      </c>
      <c r="E32" s="22">
        <f>SUM(E30:E31)</f>
        <v>250008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3"/>
      <c r="B35" s="23" t="s">
        <v>90</v>
      </c>
      <c r="C35" s="23" t="s">
        <v>91</v>
      </c>
      <c r="D35" s="23"/>
      <c r="E35" s="23"/>
      <c r="F35" s="23" t="s">
        <v>92</v>
      </c>
    </row>
    <row r="36" spans="1:6" x14ac:dyDescent="0.25">
      <c r="A36" t="s">
        <v>93</v>
      </c>
      <c r="B36" s="8">
        <v>231566.11822059721</v>
      </c>
      <c r="C36" s="8">
        <f>E32</f>
        <v>250008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0" t="s">
        <v>96</v>
      </c>
      <c r="B38" s="8">
        <f>B36+B37</f>
        <v>231566.11822059721</v>
      </c>
      <c r="C38" s="8">
        <f>C36+C37</f>
        <v>250008</v>
      </c>
    </row>
    <row r="39" spans="1:6" x14ac:dyDescent="0.25">
      <c r="A39" t="s">
        <v>97</v>
      </c>
      <c r="B39" s="8">
        <f>-B36*0.03</f>
        <v>-6946.9835466179165</v>
      </c>
      <c r="C39" s="8">
        <f>-C36*Assumptions!$B$3</f>
        <v>-7500.24</v>
      </c>
      <c r="F39" s="2" t="s">
        <v>98</v>
      </c>
    </row>
    <row r="40" spans="1:6" x14ac:dyDescent="0.25">
      <c r="A40" s="20" t="s">
        <v>99</v>
      </c>
      <c r="B40" s="22">
        <f>B38+B39</f>
        <v>224619.13467397931</v>
      </c>
      <c r="C40" s="22">
        <f>C38+C39</f>
        <v>242507.76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3" t="s">
        <v>101</v>
      </c>
      <c r="B43" s="23" t="s">
        <v>90</v>
      </c>
      <c r="C43" s="23" t="s">
        <v>102</v>
      </c>
      <c r="D43" s="23" t="s">
        <v>91</v>
      </c>
      <c r="E43" s="23" t="s">
        <v>103</v>
      </c>
      <c r="F43" s="23" t="s">
        <v>92</v>
      </c>
    </row>
    <row r="44" spans="1:6" x14ac:dyDescent="0.25">
      <c r="A44" t="s">
        <v>104</v>
      </c>
      <c r="B44" s="8"/>
      <c r="C44" s="8">
        <f>B22*Assumptions!$B$16</f>
        <v>43700</v>
      </c>
      <c r="D44" s="24">
        <f>C44</f>
        <v>43700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9068</v>
      </c>
      <c r="D45" s="24">
        <f t="shared" ref="D45:D51" si="1">IF(ISNUMBER(B45),MAX(B45,C45),C45)</f>
        <v>9068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12125.388000000001</v>
      </c>
      <c r="D46" s="24">
        <f t="shared" si="1"/>
        <v>12125.388000000001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B7*Assumptions!$B$10</f>
        <v>18000</v>
      </c>
      <c r="D48" s="24">
        <f t="shared" si="1"/>
        <v>18000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115</v>
      </c>
    </row>
    <row r="52" spans="1:6" x14ac:dyDescent="0.25">
      <c r="A52" s="20" t="s">
        <v>119</v>
      </c>
      <c r="B52" s="22">
        <f>B40-B22*B25</f>
        <v>57799.134673979366</v>
      </c>
      <c r="C52" s="22">
        <f>SUM(C44:C51)</f>
        <v>104393.38800000001</v>
      </c>
      <c r="D52" s="22">
        <f>SUM(D44:D51)</f>
        <v>104393.38800000001</v>
      </c>
      <c r="E52" s="22">
        <f t="shared" si="0"/>
        <v>46594.25332602064</v>
      </c>
      <c r="F52" s="2" t="s">
        <v>120</v>
      </c>
    </row>
    <row r="53" spans="1:6" x14ac:dyDescent="0.25">
      <c r="A53" t="s">
        <v>121</v>
      </c>
      <c r="B53" s="8">
        <f>IFERROR(B52/B7,"")</f>
        <v>5779.913467397937</v>
      </c>
      <c r="C53" s="8">
        <f>IFERROR(C52/B7,"")</f>
        <v>10439.338800000001</v>
      </c>
      <c r="D53" s="8">
        <f>IFERROR(D52/B7,"")</f>
        <v>10439.338800000001</v>
      </c>
    </row>
    <row r="54" spans="1:6" x14ac:dyDescent="0.25">
      <c r="A54" t="s">
        <v>122</v>
      </c>
      <c r="B54" s="17">
        <f>IFERROR(B52/B40,"")</f>
        <v>0.25732061855670135</v>
      </c>
      <c r="C54" s="17">
        <f>IFERROR(C52/C40,"")</f>
        <v>0.43047442275661613</v>
      </c>
      <c r="D54" s="17">
        <f>IF(C36&gt;0,IFERROR(D52/C40,""),"")</f>
        <v>0.43047442275661613</v>
      </c>
    </row>
    <row r="55" spans="1:6" x14ac:dyDescent="0.25">
      <c r="A55" s="20" t="s">
        <v>123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3"/>
      <c r="B58" s="23" t="s">
        <v>90</v>
      </c>
      <c r="C58" s="23" t="s">
        <v>91</v>
      </c>
      <c r="D58" s="23"/>
      <c r="E58" s="23"/>
      <c r="F58" s="23" t="s">
        <v>92</v>
      </c>
    </row>
    <row r="59" spans="1:6" x14ac:dyDescent="0.25">
      <c r="A59" s="20" t="s">
        <v>125</v>
      </c>
      <c r="B59" s="22">
        <f>B40-B52</f>
        <v>166819.99999999994</v>
      </c>
      <c r="C59" s="22">
        <f>IF(C36&gt;0,C40-D52,"")</f>
        <v>138114.372</v>
      </c>
    </row>
    <row r="60" spans="1:6" x14ac:dyDescent="0.25">
      <c r="A60" s="20" t="s">
        <v>126</v>
      </c>
      <c r="B60" s="17">
        <f>IFERROR(B59/B22,"")</f>
        <v>4.3899999999999988E-2</v>
      </c>
      <c r="C60" s="17">
        <f>IF(C59="","",IFERROR(C59/B22,""))</f>
        <v>3.6345887368421051E-2</v>
      </c>
      <c r="F60" s="2" t="s">
        <v>127</v>
      </c>
    </row>
    <row r="61" spans="1:6" x14ac:dyDescent="0.25">
      <c r="A61" t="s">
        <v>128</v>
      </c>
      <c r="B61" s="18">
        <f>IFERROR(B22/B36,"")</f>
        <v>16.41</v>
      </c>
      <c r="C61" s="18">
        <f>IF(C36&gt;0,IFERROR(B22/C36,""),"")</f>
        <v>15.199513615564301</v>
      </c>
    </row>
    <row r="62" spans="1:6" x14ac:dyDescent="0.25">
      <c r="A62" t="s">
        <v>129</v>
      </c>
      <c r="B62" s="8">
        <f>IFERROR(B59/B7,"")</f>
        <v>16681.999999999993</v>
      </c>
      <c r="C62" s="8">
        <f>IF(C59="","",IFERROR(C59/B7,""))</f>
        <v>13811.4372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2280000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1495430.8233753385</v>
      </c>
    </row>
    <row r="67" spans="1:2" x14ac:dyDescent="0.25">
      <c r="A67" s="20" t="s">
        <v>133</v>
      </c>
      <c r="B67" s="8">
        <f>IFERROR(MIN(B65,B66),"")</f>
        <v>1495430.8233753385</v>
      </c>
    </row>
    <row r="68" spans="1:2" x14ac:dyDescent="0.25">
      <c r="A68" t="s">
        <v>134</v>
      </c>
      <c r="B68" s="8">
        <f>IFERROR(B22-B67,"")</f>
        <v>2304569.1766246613</v>
      </c>
    </row>
    <row r="69" spans="1:2" x14ac:dyDescent="0.25">
      <c r="A69" t="s">
        <v>135</v>
      </c>
      <c r="B69" s="8">
        <f>IFERROR(-PMT(Assumptions!$B$22/12,Assumptions!$B$23*12,B67)*12,"")</f>
        <v>110491.49759999965</v>
      </c>
    </row>
    <row r="70" spans="1:2" x14ac:dyDescent="0.25">
      <c r="A70" t="s">
        <v>136</v>
      </c>
      <c r="B70" s="18">
        <f>IFERROR(C59/B69,"")</f>
        <v>1.250000000000004</v>
      </c>
    </row>
    <row r="71" spans="1:2" x14ac:dyDescent="0.25">
      <c r="A71" t="s">
        <v>137</v>
      </c>
      <c r="B71" s="8">
        <f>IFERROR(C59-B69,"")</f>
        <v>27622.87440000035</v>
      </c>
    </row>
    <row r="72" spans="1:2" x14ac:dyDescent="0.25">
      <c r="A72" t="s">
        <v>138</v>
      </c>
      <c r="B72" s="17">
        <f>IFERROR(B71/B68,"")</f>
        <v>1.1986133755575787E-2</v>
      </c>
    </row>
    <row r="74" spans="1:2" x14ac:dyDescent="0.25">
      <c r="A74" s="2" t="s">
        <v>139</v>
      </c>
    </row>
  </sheetData>
  <hyperlinks>
    <hyperlink ref="A3" r:id="rId1" xr:uid="{E22C5982-6A73-4F1B-9FA7-CA6ED78AA4E7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28 1050 12th St</vt:lpstr>
      <vt:lpstr>'28 1050 12th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2026-09-17T19:26:44Z</dcterms:created>
  <dcterms:modified xsi:type="dcterms:W3CDTF">2026-09-17T19:26:47Z</dcterms:modified>
</cp:coreProperties>
</file>