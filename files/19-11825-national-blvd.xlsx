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8AF9BC40-0B63-46BD-B203-B0F5F36A0FAE}" xr6:coauthVersionLast="47" xr6:coauthVersionMax="47" xr10:uidLastSave="{00000000-0000-0000-0000-000000000000}"/>
  <bookViews>
    <workbookView xWindow="-120" yWindow="-120" windowWidth="29040" windowHeight="15720" activeTab="1" xr2:uid="{7789C1D0-E750-4C88-84D2-AF641BD6BEA9}"/>
  </bookViews>
  <sheets>
    <sheet name="Assumptions" sheetId="1" r:id="rId1"/>
    <sheet name="19 11825 National Blvd" sheetId="2" r:id="rId2"/>
  </sheets>
  <definedNames>
    <definedName name="_xlnm.Print_Area" localSheetId="1">'19 11825 National Blvd'!$A$1:$N$80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D49" i="2"/>
  <c r="C49" i="2"/>
  <c r="E48" i="2"/>
  <c r="D48" i="2"/>
  <c r="C48" i="2"/>
  <c r="E47" i="2"/>
  <c r="C47" i="2"/>
  <c r="D47" i="2" s="1"/>
  <c r="E46" i="2"/>
  <c r="E45" i="2"/>
  <c r="D45" i="2"/>
  <c r="C45" i="2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B52" i="2" l="1"/>
  <c r="B59" i="2"/>
  <c r="C61" i="2"/>
  <c r="C39" i="2"/>
  <c r="C38" i="2"/>
  <c r="C40" i="2" s="1"/>
  <c r="C46" i="2" s="1"/>
  <c r="D46" i="2" s="1"/>
  <c r="D44" i="2"/>
  <c r="D52" i="2" s="1"/>
  <c r="D53" i="2" s="1"/>
  <c r="D54" i="2" l="1"/>
  <c r="C59" i="2"/>
  <c r="B60" i="2"/>
  <c r="B62" i="2"/>
  <c r="B55" i="2"/>
  <c r="B54" i="2"/>
  <c r="B53" i="2"/>
  <c r="E52" i="2"/>
  <c r="C52" i="2"/>
  <c r="C53" i="2" l="1"/>
  <c r="C54" i="2"/>
  <c r="C60" i="2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<sst xmlns="http://schemas.openxmlformats.org/spreadsheetml/2006/main" count="149" uniqueCount="141">
  <si>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</si>
  <si>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</si>
  <si>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</si>
  <si>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</si>
  <si>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</si>
  <si>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</si>
  <si>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</si>
  <si>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</si>
  <si>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</si>
  <si>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</si>
  <si>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</si>
  <si>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</si>
  <si>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</si>
  <si>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</si>
  <si>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</si>
  <si>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</si>
  <si>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</si>
  <si>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</si>
  <si>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</si>
  <si>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</si>
  <si>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</si>
  <si>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</si>
  <si>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</si>
  <si>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</si>
  <si>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</si>
  <si>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</si>
  <si>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</si>
  <si>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</si>
  <si>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</si>
  <si>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</si>
  <si>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</si>
  <si>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</si>
  <si>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</si>
  <si>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</si>
  <si>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</si>
  <si>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</si>
  <si>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</si>
  <si>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</si>
  <si>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</si>
  <si>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</si>
  <si>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</si>
  <si>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</si>
  <si>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</si>
  <si>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</si>
  <si>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</si>
  <si>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</si>
  <si>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</si>
  <si>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11825 National Blvd</t>
  </si>
  <si>
    <t>Los Angeles, CA 90064  |  West LA / Rancho Park</t>
  </si>
  <si>
    <t>LoopNet listing</t>
  </si>
  <si>
    <t>Data pulled 9/17/2026 from LoopNet public listing</t>
  </si>
  <si>
    <t>NOTE: Reduced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</si>
  <si>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</si>
  <si>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</si>
  <si>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</si>
  <si>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</si>
  <si>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</si>
  <si>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</si>
  <si>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</si>
  <si>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</si>
  <si>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</si>
  <si>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Multi Family Dwelling</t>
  </si>
  <si>
    <t>Occupancy per listing</t>
  </si>
  <si>
    <t>100%</t>
  </si>
  <si>
    <t>APN</t>
  </si>
  <si>
    <t>4257-019-044</t>
  </si>
  <si>
    <t>Assessed value (current)</t>
  </si>
  <si>
    <t>Listing broker(s)</t>
  </si>
  <si>
    <t>Jonathan Taksa</t>
  </si>
  <si>
    <t>Date on market</t>
  </si>
  <si>
    <t>8/24/2026</t>
  </si>
  <si>
    <t>Listing last updated</t>
  </si>
  <si>
    <t>9/9/2026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</si>
  <si>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</si>
  <si>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</si>
  <si>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</si>
  <si>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</si>
  <si>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</si>
  <si>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</si>
  <si>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</si>
  <si>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</si>
  <si>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</si>
  <si>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</si>
  <si>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</si>
  <si>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</si>
  <si>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</si>
  <si>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</t>
  </si>
  <si>
    <t>Allocated from published GRM (price / GRM) using LAAA bed weights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</si>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</sst>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00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7E90BD5-AB67-44C8-98D0-7EF082E601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003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1825-National-Blvd-Los-Angeles-CA/418619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A831-E89F-4240-A067-C5BBFC342689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6AD1-4FDE-4E34-BCDB-31F893931D32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13</v>
      </c>
    </row>
    <row r="8" spans="1:3" x14ac:dyDescent="0.25">
      <c r="A8" t="s">
        <v>54</v>
      </c>
      <c r="B8" s="15">
        <v>11831</v>
      </c>
    </row>
    <row r="9" spans="1:3" x14ac:dyDescent="0.25">
      <c r="A9" t="s">
        <v>55</v>
      </c>
      <c r="B9" s="15">
        <v>10019</v>
      </c>
    </row>
    <row r="10" spans="1:3" x14ac:dyDescent="0.25">
      <c r="A10" t="s">
        <v>56</v>
      </c>
      <c r="B10" s="16">
        <v>0.23</v>
      </c>
    </row>
    <row r="11" spans="1:3" x14ac:dyDescent="0.25">
      <c r="A11" t="s">
        <v>57</v>
      </c>
      <c r="B11">
        <v>1971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5354487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4595000</v>
      </c>
    </row>
    <row r="23" spans="1:6" x14ac:dyDescent="0.25">
      <c r="A23" t="s">
        <v>75</v>
      </c>
      <c r="B23" s="8">
        <f>IFERROR(B22/B7,"")</f>
        <v>353461.53846153844</v>
      </c>
    </row>
    <row r="24" spans="1:6" x14ac:dyDescent="0.25">
      <c r="A24" t="s">
        <v>76</v>
      </c>
      <c r="B24" s="17">
        <f>IFERROR(B22/B8,"")</f>
        <v>388.38644239709237</v>
      </c>
    </row>
    <row r="25" spans="1:6" x14ac:dyDescent="0.25">
      <c r="A25" t="s">
        <v>77</v>
      </c>
      <c r="B25" s="18">
        <v>5.7099999999999998E-2</v>
      </c>
    </row>
    <row r="26" spans="1:6" x14ac:dyDescent="0.25">
      <c r="A26" t="s">
        <v>78</v>
      </c>
      <c r="B26" s="19">
        <v>11.21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5</v>
      </c>
      <c r="C30" s="21">
        <v>3126</v>
      </c>
      <c r="D30" s="8">
        <f>B30*C30</f>
        <v>15630</v>
      </c>
      <c r="E30" s="8">
        <f>D30*12</f>
        <v>187560</v>
      </c>
      <c r="F30" s="2" t="s">
        <v>87</v>
      </c>
    </row>
    <row r="31" spans="1:6" x14ac:dyDescent="0.25">
      <c r="A31" t="s">
        <v>88</v>
      </c>
      <c r="B31" s="15">
        <v>8</v>
      </c>
      <c r="C31" s="21">
        <v>2316</v>
      </c>
      <c r="D31" s="8">
        <f>B31*C31</f>
        <v>18528</v>
      </c>
      <c r="E31" s="8">
        <f>D31*12</f>
        <v>222336</v>
      </c>
      <c r="F31" s="2" t="s">
        <v>87</v>
      </c>
    </row>
    <row r="32" spans="1:6" x14ac:dyDescent="0.25">
      <c r="A32" s="22" t="s">
        <v>89</v>
      </c>
      <c r="B32" s="23">
        <f>SUM(B30:B31)</f>
        <v>13</v>
      </c>
      <c r="C32" s="24">
        <f>IFERROR(D32/B32,"")</f>
        <v>2627.5384615384614</v>
      </c>
      <c r="D32" s="24">
        <f>SUM(D30:D31)</f>
        <v>34158</v>
      </c>
      <c r="E32" s="24">
        <f>SUM(E30:E31)</f>
        <v>409896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>
        <v>409901.87332738622</v>
      </c>
      <c r="C36" s="8">
        <f>E32</f>
        <v>409896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409901.87332738622</v>
      </c>
      <c r="C38" s="8">
        <f>C36+C37</f>
        <v>409896</v>
      </c>
    </row>
    <row r="39" spans="1:6" x14ac:dyDescent="0.25">
      <c r="A39" t="s">
        <v>98</v>
      </c>
      <c r="B39" s="8">
        <f>-B36*0.03</f>
        <v>-12297.056199821585</v>
      </c>
      <c r="C39" s="8">
        <f>-C36*Assumptions!$B$3</f>
        <v>-12296.88</v>
      </c>
      <c r="F39" s="2" t="s">
        <v>99</v>
      </c>
    </row>
    <row r="40" spans="1:6" x14ac:dyDescent="0.25">
      <c r="A40" s="22" t="s">
        <v>100</v>
      </c>
      <c r="B40" s="24">
        <f>B38+B39</f>
        <v>397604.81712756463</v>
      </c>
      <c r="C40" s="24">
        <f>C38+C39</f>
        <v>397599.12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57437.5</v>
      </c>
      <c r="D44" s="26">
        <f>C44</f>
        <v>57437.5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14431</v>
      </c>
      <c r="D45" s="26">
        <f t="shared" ref="D45:D51" si="1">IF(ISNUMBER(B45),MAX(B45,C45),C45)</f>
        <v>14431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19879.956000000002</v>
      </c>
      <c r="D46" s="26">
        <f t="shared" si="1"/>
        <v>19879.956000000002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15600</v>
      </c>
      <c r="D47" s="26">
        <f t="shared" si="1"/>
        <v>15600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19500</v>
      </c>
      <c r="D48" s="26">
        <f t="shared" si="1"/>
        <v>19500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5200</v>
      </c>
      <c r="D49" s="26">
        <f t="shared" si="1"/>
        <v>5200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3250</v>
      </c>
      <c r="D50" s="26">
        <f t="shared" si="1"/>
        <v>3250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3900</v>
      </c>
      <c r="D51" s="26">
        <f t="shared" si="1"/>
        <v>3900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4">
        <f>B40-B22*B25</f>
        <v>135230.31712756463</v>
      </c>
      <c r="C52" s="24">
        <f>SUM(C44:C51)</f>
        <v>139198.45600000001</v>
      </c>
      <c r="D52" s="24">
        <f>SUM(D44:D51)</f>
        <v>139198.45600000001</v>
      </c>
      <c r="E52" s="24">
        <f t="shared" si="0"/>
        <v>3968.1388724353747</v>
      </c>
      <c r="F52" s="2" t="s">
        <v>121</v>
      </c>
    </row>
    <row r="53" spans="1:6" x14ac:dyDescent="0.25">
      <c r="A53" t="s">
        <v>122</v>
      </c>
      <c r="B53" s="8">
        <f>IFERROR(B52/B7,"")</f>
        <v>10402.332086735742</v>
      </c>
      <c r="C53" s="8">
        <f>IFERROR(C52/B7,"")</f>
        <v>10707.573538461538</v>
      </c>
      <c r="D53" s="8">
        <f>IFERROR(D52/B7,"")</f>
        <v>10707.573538461538</v>
      </c>
    </row>
    <row r="54" spans="1:6" x14ac:dyDescent="0.25">
      <c r="A54" t="s">
        <v>123</v>
      </c>
      <c r="B54" s="18">
        <f>IFERROR(B52/B40,"")</f>
        <v>0.34011237113402054</v>
      </c>
      <c r="C54" s="18">
        <f>IFERROR(C52/C40,"")</f>
        <v>0.35009749518560307</v>
      </c>
      <c r="D54" s="18">
        <f>IF(C36&gt;0,IFERROR(D52/C40,""),"")</f>
        <v>0.35009749518560307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4">
        <f>B40-B52</f>
        <v>262374.5</v>
      </c>
      <c r="C59" s="24">
        <f>IF(C36&gt;0,C40-D52,"")</f>
        <v>258400.66399999999</v>
      </c>
    </row>
    <row r="60" spans="1:6" x14ac:dyDescent="0.25">
      <c r="A60" s="22" t="s">
        <v>127</v>
      </c>
      <c r="B60" s="18">
        <f>IFERROR(B59/B22,"")</f>
        <v>5.7099999999999998E-2</v>
      </c>
      <c r="C60" s="18">
        <f>IF(C59="","",IFERROR(C59/B22,""))</f>
        <v>5.623518258977149E-2</v>
      </c>
      <c r="F60" s="2" t="s">
        <v>128</v>
      </c>
    </row>
    <row r="61" spans="1:6" x14ac:dyDescent="0.25">
      <c r="A61" t="s">
        <v>129</v>
      </c>
      <c r="B61" s="19">
        <f>IFERROR(B22/B36,"")</f>
        <v>11.21</v>
      </c>
      <c r="C61" s="19">
        <f>IF(C36&gt;0,IFERROR(B22/C36,""),"")</f>
        <v>11.210160626110037</v>
      </c>
    </row>
    <row r="62" spans="1:6" x14ac:dyDescent="0.25">
      <c r="A62" t="s">
        <v>130</v>
      </c>
      <c r="B62" s="8">
        <f>IFERROR(B59/B7,"")</f>
        <v>20182.653846153848</v>
      </c>
      <c r="C62" s="8">
        <f>IF(C59="","",IFERROR(C59/B7,""))</f>
        <v>19876.974153846153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2757000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2797828.438348575</v>
      </c>
    </row>
    <row r="67" spans="1:2" x14ac:dyDescent="0.25">
      <c r="A67" s="22" t="s">
        <v>134</v>
      </c>
      <c r="B67" s="8">
        <f>IFERROR(MIN(B65,B66),"")</f>
        <v>2757000</v>
      </c>
    </row>
    <row r="68" spans="1:2" x14ac:dyDescent="0.25">
      <c r="A68" t="s">
        <v>135</v>
      </c>
      <c r="B68" s="8">
        <f>IFERROR(B22-B67,"")</f>
        <v>1838000</v>
      </c>
    </row>
    <row r="69" spans="1:2" x14ac:dyDescent="0.25">
      <c r="A69" t="s">
        <v>136</v>
      </c>
      <c r="B69" s="8">
        <f>IFERROR(-PMT(Assumptions!$B$22/12,Assumptions!$B$23*12,B67)*12,"")</f>
        <v>203703.87858906738</v>
      </c>
    </row>
    <row r="70" spans="1:2" x14ac:dyDescent="0.25">
      <c r="A70" t="s">
        <v>137</v>
      </c>
      <c r="B70" s="19">
        <f>IFERROR(C59/B69,"")</f>
        <v>1.2685112614928293</v>
      </c>
    </row>
    <row r="71" spans="1:2" x14ac:dyDescent="0.25">
      <c r="A71" t="s">
        <v>138</v>
      </c>
      <c r="B71" s="8">
        <f>IFERROR(C59-B69,"")</f>
        <v>54696.785410932614</v>
      </c>
    </row>
    <row r="72" spans="1:2" x14ac:dyDescent="0.25">
      <c r="A72" t="s">
        <v>139</v>
      </c>
      <c r="B72" s="18">
        <f>IFERROR(B71/B68,"")</f>
        <v>2.9758860397678246E-2</v>
      </c>
    </row>
    <row r="74" spans="1:2" x14ac:dyDescent="0.25">
      <c r="A74" s="2" t="s">
        <v>140</v>
      </c>
    </row>
  </sheetData>
  <hyperlinks>
    <hyperlink ref="A3" r:id="rId1" xr:uid="{30566DE2-9043-4EF2-AB6C-ED40B3F0B91F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19 11825 National Blvd</vt:lpstr>
      <vt:lpstr>'19 11825 National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2026-09-17T18:56:42Z</dcterms:created>
  <dcterms:modified xsi:type="dcterms:W3CDTF">2026-09-17T18:56:44Z</dcterms:modified>
</cp:coreProperties>
</file>