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3BFA8B5-347A-4A38-A7A1-08A7CB566D33}" xr6:coauthVersionLast="47" xr6:coauthVersionMax="47" xr10:uidLastSave="{00000000-0000-0000-0000-000000000000}"/>
  <bookViews>
    <workbookView xWindow="-120" yWindow="-120" windowWidth="29040" windowHeight="15720" activeTab="1" xr2:uid="{D459BA34-97AA-43D2-BBA6-AFED852238C3}"/>
  </bookViews>
  <sheets>
    <sheet name="Assumptions" sheetId="1" r:id="rId1"/>
    <sheet name="16 120 Westminster Ave" sheetId="2" r:id="rId2"/>
  </sheets>
  <definedNames>
    <definedName name="_xlnm.Print_Area" localSheetId="1">'16 120 Westminster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B32" i="2"/>
  <c r="C32" i="2" s="1"/>
  <c r="D31" i="2"/>
  <c r="E31" i="2" s="1"/>
  <c r="E32" i="2" s="1"/>
  <c r="C36" i="2" s="1"/>
  <c r="E30" i="2"/>
  <c r="D30" i="2"/>
  <c r="B24" i="2"/>
  <c r="B23" i="2"/>
  <c r="C39" i="2" l="1"/>
  <c r="C38" i="2"/>
  <c r="C40" i="2" s="1"/>
  <c r="C46" i="2" s="1"/>
  <c r="D46" i="2" s="1"/>
  <c r="C61" i="2"/>
  <c r="C52" i="2"/>
  <c r="D52" i="2"/>
  <c r="D53" i="2" s="1"/>
  <c r="C54" i="2" l="1"/>
  <c r="C53" i="2"/>
  <c r="D54" i="2"/>
  <c r="C59" i="2"/>
  <c r="C60" i="2" l="1"/>
  <c r="C62" i="2"/>
  <c r="B66" i="2"/>
  <c r="B67" i="2" s="1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<sst xmlns="http://schemas.openxmlformats.org/spreadsheetml/2006/main" count="149" uniqueCount="141">
  <si>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</si>
  <si>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</si>
  <si>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</si>
  <si>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</si>
  <si>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</si>
  <si>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</si>
  <si>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</si>
  <si>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</si>
  <si>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</si>
  <si>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</si>
  <si>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</si>
  <si>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</si>
  <si>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</si>
  <si>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</si>
  <si>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</si>
  <si>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</si>
  <si>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</si>
  <si>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</si>
  <si>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</si>
  <si>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</si>
  <si>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</si>
  <si>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</si>
  <si>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</si>
  <si>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</si>
  <si>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</si>
  <si>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</si>
  <si>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</si>
  <si>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</si>
  <si>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</si>
  <si>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</si>
  <si>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</si>
  <si>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</si>
  <si>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</si>
  <si>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</si>
  <si>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</si>
  <si>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</si>
  <si>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</si>
  <si>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</si>
  <si>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</si>
  <si>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</si>
  <si>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</si>
  <si>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</si>
  <si>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</si>
  <si>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</si>
  <si>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</si>
  <si>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</si>
  <si>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</si>
  <si>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120 Westminster Ave</t>
  </si>
  <si>
    <t>Venice, CA 90291  |  Venice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</si>
  <si>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</si>
  <si>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</si>
  <si>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</si>
  <si>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</si>
  <si>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</si>
  <si>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</si>
  <si>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</si>
  <si>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</si>
  <si>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</si>
  <si>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</si>
  <si>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</si>
  <si>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</si>
  <si>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C2-1, Los Angeles</t>
  </si>
  <si>
    <t>Occupancy per listing</t>
  </si>
  <si>
    <t>95%</t>
  </si>
  <si>
    <t>APN</t>
  </si>
  <si>
    <t>Multiple</t>
  </si>
  <si>
    <t>Assessed value (current)</t>
  </si>
  <si>
    <t>Listing broker(s)</t>
  </si>
  <si>
    <t>Kitty Wallace</t>
  </si>
  <si>
    <t>Date on market</t>
  </si>
  <si>
    <t>9/24/2025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</si>
  <si>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</si>
  <si>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</si>
  <si>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</si>
  <si>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</si>
  <si>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</si>
  <si>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</si>
  <si>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</si>
  <si>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</si>
  <si>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</si>
  <si>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</si>
  <si>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</si>
  <si>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</si>
  <si>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</si>
  <si>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</si>
  <si>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</si>
  <si>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(~210 SF)</t>
  </si>
  <si>
    <t>ESTIMATED (no rents, GRM or cap published) - verify with OM</t>
  </si>
  <si>
    <t>1 Bd / 1 Ba  (~485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</si>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</sst>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B8DB206-103B-487A-9E1D-16655696557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0-Westminster-Ave-Venice-CA/378133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D5E1-EAE9-4470-B6D7-63F8609CC7ED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47F8-65F3-4CB2-BA51-4C812F99D4E7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21</v>
      </c>
    </row>
    <row r="8" spans="1:3" x14ac:dyDescent="0.25">
      <c r="A8" t="s">
        <v>54</v>
      </c>
      <c r="B8" s="15">
        <v>7674</v>
      </c>
    </row>
    <row r="9" spans="1:3" x14ac:dyDescent="0.25">
      <c r="A9" t="s">
        <v>55</v>
      </c>
      <c r="B9" s="15">
        <v>5227</v>
      </c>
    </row>
    <row r="10" spans="1:3" x14ac:dyDescent="0.25">
      <c r="A10" t="s">
        <v>56</v>
      </c>
      <c r="B10" s="16">
        <v>0.12</v>
      </c>
    </row>
    <row r="11" spans="1:3" x14ac:dyDescent="0.25">
      <c r="A11" t="s">
        <v>57</v>
      </c>
      <c r="B11">
        <v>1920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2243966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4300000</v>
      </c>
    </row>
    <row r="23" spans="1:6" x14ac:dyDescent="0.25">
      <c r="A23" t="s">
        <v>75</v>
      </c>
      <c r="B23" s="8">
        <f>IFERROR(B22/B7,"")</f>
        <v>204761.90476190476</v>
      </c>
    </row>
    <row r="24" spans="1:6" x14ac:dyDescent="0.25">
      <c r="A24" t="s">
        <v>76</v>
      </c>
      <c r="B24" s="17">
        <f>IFERROR(B22/B8,"")</f>
        <v>560.33359395360958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13</v>
      </c>
      <c r="C30" s="21">
        <v>1900</v>
      </c>
      <c r="D30" s="8">
        <f>B30*C30</f>
        <v>24700</v>
      </c>
      <c r="E30" s="8">
        <f>D30*12</f>
        <v>296400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2400</v>
      </c>
      <c r="D31" s="8">
        <f>B31*C31</f>
        <v>19200</v>
      </c>
      <c r="E31" s="8">
        <f>D31*12</f>
        <v>230400</v>
      </c>
      <c r="F31" s="2" t="s">
        <v>87</v>
      </c>
    </row>
    <row r="32" spans="1:6" x14ac:dyDescent="0.25">
      <c r="A32" s="22" t="s">
        <v>89</v>
      </c>
      <c r="B32" s="23">
        <f>SUM(B30:B31)</f>
        <v>21</v>
      </c>
      <c r="C32" s="24">
        <f>IFERROR(D32/B32,"")</f>
        <v>2090.4761904761904</v>
      </c>
      <c r="D32" s="24">
        <f>SUM(D30:D31)</f>
        <v>43900</v>
      </c>
      <c r="E32" s="24">
        <f>SUM(E30:E31)</f>
        <v>526800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526800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526800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-15804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510996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53750</v>
      </c>
      <c r="D44" s="26">
        <f>C44</f>
        <v>53750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11874</v>
      </c>
      <c r="D45" s="26">
        <f t="shared" ref="D45:D51" si="1">IF(ISNUMBER(B45),MAX(B45,C45),C45)</f>
        <v>11874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25549.800000000003</v>
      </c>
      <c r="D46" s="26">
        <f t="shared" si="1"/>
        <v>25549.800000000003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25200</v>
      </c>
      <c r="D47" s="26">
        <f t="shared" si="1"/>
        <v>25200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31500</v>
      </c>
      <c r="D48" s="26">
        <f t="shared" si="1"/>
        <v>31500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8400</v>
      </c>
      <c r="D49" s="26">
        <f t="shared" si="1"/>
        <v>8400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5250</v>
      </c>
      <c r="D50" s="26">
        <f t="shared" si="1"/>
        <v>5250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6300</v>
      </c>
      <c r="D51" s="26">
        <f t="shared" si="1"/>
        <v>6300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167823.8</v>
      </c>
      <c r="D52" s="24">
        <f>SUM(D44:D51)</f>
        <v>167823.8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7991.6095238095231</v>
      </c>
      <c r="D53" s="8">
        <f>IFERROR(D52/B7,"")</f>
        <v>7991.6095238095231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0.32842488003819986</v>
      </c>
      <c r="D54" s="18">
        <f>IF(C36&gt;0,IFERROR(D52/C40,""),"")</f>
        <v>0.32842488003819986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343172.2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7.9807488372093033E-2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8.1624905087319668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16341.533333333335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2580000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3715690.6857276689</v>
      </c>
    </row>
    <row r="67" spans="1:2" x14ac:dyDescent="0.25">
      <c r="A67" s="22" t="s">
        <v>134</v>
      </c>
      <c r="B67" s="8">
        <f>IFERROR(MIN(B65,B66),"")</f>
        <v>2580000</v>
      </c>
    </row>
    <row r="68" spans="1:2" x14ac:dyDescent="0.25">
      <c r="A68" t="s">
        <v>135</v>
      </c>
      <c r="B68" s="8">
        <f>IFERROR(B22-B67,"")</f>
        <v>1720000</v>
      </c>
    </row>
    <row r="69" spans="1:2" x14ac:dyDescent="0.25">
      <c r="A69" t="s">
        <v>136</v>
      </c>
      <c r="B69" s="8">
        <f>IFERROR(-PMT(Assumptions!$B$22/12,Assumptions!$B$23*12,B67)*12,"")</f>
        <v>190626.04525201081</v>
      </c>
    </row>
    <row r="70" spans="1:2" x14ac:dyDescent="0.25">
      <c r="A70" t="s">
        <v>137</v>
      </c>
      <c r="B70" s="19">
        <f>IFERROR(C59/B69,"")</f>
        <v>1.8002377353331789</v>
      </c>
    </row>
    <row r="71" spans="1:2" x14ac:dyDescent="0.25">
      <c r="A71" t="s">
        <v>138</v>
      </c>
      <c r="B71" s="8">
        <f>IFERROR(C59-B69,"")</f>
        <v>152546.1547479892</v>
      </c>
    </row>
    <row r="72" spans="1:2" x14ac:dyDescent="0.25">
      <c r="A72" t="s">
        <v>139</v>
      </c>
      <c r="B72" s="18">
        <f>IFERROR(B71/B68,"")</f>
        <v>8.8689624853482099E-2</v>
      </c>
    </row>
    <row r="74" spans="1:2" x14ac:dyDescent="0.25">
      <c r="A74" s="2" t="s">
        <v>140</v>
      </c>
    </row>
  </sheetData>
  <hyperlinks>
    <hyperlink ref="A3" r:id="rId1" xr:uid="{F33B2FB8-A320-4BD6-99A6-3E02EB3534BE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16 120 Westminster Ave</vt:lpstr>
      <vt:lpstr>'16 120 Westminster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2026-09-17T18:56:30Z</dcterms:created>
  <dcterms:modified xsi:type="dcterms:W3CDTF">2026-09-17T18:56:32Z</dcterms:modified>
</cp:coreProperties>
</file>