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0AE3D756-405B-4792-A6DA-58C123E583EB}" xr6:coauthVersionLast="47" xr6:coauthVersionMax="47" xr10:uidLastSave="{00000000-0000-0000-0000-000000000000}"/>
  <bookViews>
    <workbookView xWindow="-120" yWindow="-120" windowWidth="29040" windowHeight="15720" activeTab="1" xr2:uid="{7A4689AD-2101-4028-99BD-966916D0152F}"/>
  </bookViews>
  <sheets>
    <sheet name="Assumptions" sheetId="1" r:id="rId1"/>
    <sheet name="02 2001 Penmar Ave" sheetId="2" r:id="rId2"/>
  </sheets>
  <definedNames>
    <definedName name="_xlnm.Print_Area" localSheetId="1">'02 2001 Penmar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C51" i="2"/>
  <c r="D51" i="2" s="1"/>
  <c r="E50" i="2"/>
  <c r="C50" i="2"/>
  <c r="D50" i="2" s="1"/>
  <c r="E49" i="2"/>
  <c r="C49" i="2"/>
  <c r="D49" i="2" s="1"/>
  <c r="E48" i="2"/>
  <c r="E47" i="2"/>
  <c r="C47" i="2"/>
  <c r="D47" i="2" s="1"/>
  <c r="E46" i="2"/>
  <c r="C46" i="2"/>
  <c r="B41" i="2"/>
  <c r="B40" i="2"/>
  <c r="B42" i="2" s="1"/>
  <c r="D34" i="2"/>
  <c r="C34" i="2" s="1"/>
  <c r="B34" i="2"/>
  <c r="E33" i="2"/>
  <c r="D33" i="2"/>
  <c r="D32" i="2"/>
  <c r="E32" i="2" s="1"/>
  <c r="E31" i="2"/>
  <c r="D31" i="2"/>
  <c r="D30" i="2"/>
  <c r="E30" i="2" s="1"/>
  <c r="E34" i="2" s="1"/>
  <c r="C38" i="2" s="1"/>
  <c r="B24" i="2"/>
  <c r="B23" i="2"/>
  <c r="B54" i="2" l="1"/>
  <c r="B61" i="2"/>
  <c r="C41" i="2"/>
  <c r="C40" i="2"/>
  <c r="C42" i="2" s="1"/>
  <c r="C48" i="2" s="1"/>
  <c r="D48" i="2" s="1"/>
  <c r="C63" i="2"/>
  <c r="D46" i="2"/>
  <c r="D54" i="2" s="1"/>
  <c r="D55" i="2" s="1"/>
  <c r="D56" i="2" l="1"/>
  <c r="C61" i="2"/>
  <c r="B62" i="2"/>
  <c r="B64" i="2"/>
  <c r="C54" i="2"/>
  <c r="E54" i="2"/>
  <c r="B57" i="2"/>
  <c r="B55" i="2"/>
  <c r="B56" i="2"/>
  <c r="C56" i="2" l="1"/>
  <c r="C55" i="2"/>
  <c r="C62" i="2"/>
  <c r="B68" i="2"/>
  <c r="B69" i="2" s="1"/>
  <c r="C64" i="2"/>
  <c r="B71" i="2" l="1"/>
  <c r="B70" i="2"/>
  <c r="B72" i="2" l="1"/>
  <c r="B73" i="2"/>
  <c r="B74" i="2" s="1"/>
</calcChain>
</file>

<file path=xl/sharedStrings.xml><?xml version="1.0" encoding="utf-8"?>
<sst xmlns="http://schemas.openxmlformats.org/spreadsheetml/2006/main" count="153" uniqueCount="142">
  <si>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</si>
  <si>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</si>
  <si>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</si>
  <si>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</si>
  <si>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</si>
  <si>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</si>
  <si>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</si>
  <si>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</si>
  <si>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</si>
  <si>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</si>
  <si>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</si>
  <si>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</si>
  <si>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</si>
  <si>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</si>
  <si>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</si>
  <si>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</si>
  <si>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</si>
  <si>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</si>
  <si>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</si>
  <si>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</si>
  <si>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</si>
  <si>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</si>
  <si>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</si>
  <si>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</si>
  <si>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</si>
  <si>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</si>
  <si>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</si>
  <si>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</si>
  <si>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</si>
  <si>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</si>
  <si>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</si>
  <si>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</si>
  <si>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</si>
  <si>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</si>
  <si>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</si>
  <si>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</si>
  <si>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</si>
  <si>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</si>
  <si>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</si>
  <si>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</si>
  <si>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</si>
  <si>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</si>
  <si>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</si>
  <si>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</si>
  <si>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</si>
  <si>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</si>
  <si>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</si>
  <si>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2001 Penmar Ave</t>
  </si>
  <si>
    <t>Venice, CA 90291  |  Venice</t>
  </si>
  <si>
    <t>LoopNet listing</t>
  </si>
  <si>
    <t>Data pulled 9/17/2026 from LoopNet public listing</t>
  </si>
  <si>
    <t>NOTE: New listing 9/15/26, remodeled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</si>
  <si>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</si>
  <si>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</si>
  <si>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</si>
  <si>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</si>
  <si>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</si>
  <si>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</si>
  <si>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</si>
  <si>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</si>
  <si>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</si>
  <si>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Los Angeles - Multiple Family Dwelling Residential</t>
  </si>
  <si>
    <t>Occupancy per listing</t>
  </si>
  <si>
    <t>100%</t>
  </si>
  <si>
    <t>APN</t>
  </si>
  <si>
    <t>4242-009-011</t>
  </si>
  <si>
    <t>Assessed value (current)</t>
  </si>
  <si>
    <t>Listing broker(s)</t>
  </si>
  <si>
    <t>Jonathan Taksa</t>
  </si>
  <si>
    <t>Date on market</t>
  </si>
  <si>
    <t>9/15/2026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</si>
  <si>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</si>
  <si>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</si>
  <si>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</si>
  <si>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</si>
  <si>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</si>
  <si>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</si>
  <si>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</si>
  <si>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</si>
  <si>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</si>
  <si>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</si>
  <si>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</si>
  <si>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</si>
  <si>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</si>
  <si>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</si>
  <si>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(~450 SF)</t>
  </si>
  <si>
    <t>Allocated from published GRM (price / GRM) using LAAA bed weights</t>
  </si>
  <si>
    <t>1 Bd / 1 Ba  (~625 SF)</t>
  </si>
  <si>
    <t>2 Bd / 1 Ba  (~758 SF)</t>
  </si>
  <si>
    <t>2 Bd / 2 Ba  (~758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</si>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</sst>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35F6268-B399-4172-A1D8-4C166A3AC7A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01-Penmar-Ave-Venice-CA/422035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668F-136D-4471-9061-C68E341DE64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BF3A-8C8F-4664-8A7B-7749305ED48E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14</v>
      </c>
    </row>
    <row r="8" spans="1:3" x14ac:dyDescent="0.25">
      <c r="A8" t="s">
        <v>54</v>
      </c>
      <c r="B8" s="15">
        <v>9532</v>
      </c>
    </row>
    <row r="9" spans="1:3" x14ac:dyDescent="0.25">
      <c r="A9" t="s">
        <v>55</v>
      </c>
      <c r="B9" s="15">
        <v>10019</v>
      </c>
    </row>
    <row r="10" spans="1:3" x14ac:dyDescent="0.25">
      <c r="A10" t="s">
        <v>56</v>
      </c>
      <c r="B10" s="16">
        <v>0.23</v>
      </c>
    </row>
    <row r="11" spans="1:3" x14ac:dyDescent="0.25">
      <c r="A11" t="s">
        <v>57</v>
      </c>
      <c r="B11">
        <v>1962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3993440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5095000</v>
      </c>
    </row>
    <row r="23" spans="1:6" x14ac:dyDescent="0.25">
      <c r="A23" t="s">
        <v>74</v>
      </c>
      <c r="B23" s="8">
        <f>IFERROR(B22/B7,"")</f>
        <v>363928.57142857142</v>
      </c>
    </row>
    <row r="24" spans="1:6" x14ac:dyDescent="0.25">
      <c r="A24" t="s">
        <v>75</v>
      </c>
      <c r="B24" s="17">
        <f>IFERROR(B22/B8,"")</f>
        <v>534.5153168275283</v>
      </c>
    </row>
    <row r="25" spans="1:6" x14ac:dyDescent="0.25">
      <c r="A25" t="s">
        <v>76</v>
      </c>
      <c r="B25" s="18">
        <v>6.2E-2</v>
      </c>
    </row>
    <row r="26" spans="1:6" x14ac:dyDescent="0.25">
      <c r="A26" t="s">
        <v>77</v>
      </c>
      <c r="B26" s="19">
        <v>11.34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2</v>
      </c>
      <c r="C30" s="21">
        <v>1618</v>
      </c>
      <c r="D30" s="8">
        <f>B30*C30</f>
        <v>3236</v>
      </c>
      <c r="E30" s="8">
        <f>D30*12</f>
        <v>38832</v>
      </c>
      <c r="F30" s="2" t="s">
        <v>86</v>
      </c>
    </row>
    <row r="31" spans="1:6" x14ac:dyDescent="0.25">
      <c r="A31" t="s">
        <v>87</v>
      </c>
      <c r="B31" s="15">
        <v>4</v>
      </c>
      <c r="C31" s="21">
        <v>2311</v>
      </c>
      <c r="D31" s="8">
        <f>B31*C31</f>
        <v>9244</v>
      </c>
      <c r="E31" s="8">
        <f>D31*12</f>
        <v>110928</v>
      </c>
      <c r="F31" s="2" t="s">
        <v>86</v>
      </c>
    </row>
    <row r="32" spans="1:6" x14ac:dyDescent="0.25">
      <c r="A32" t="s">
        <v>88</v>
      </c>
      <c r="B32" s="15">
        <v>5</v>
      </c>
      <c r="C32" s="21">
        <v>3120</v>
      </c>
      <c r="D32" s="8">
        <f>B32*C32</f>
        <v>15600</v>
      </c>
      <c r="E32" s="8">
        <f>D32*12</f>
        <v>187200</v>
      </c>
      <c r="F32" s="2" t="s">
        <v>86</v>
      </c>
    </row>
    <row r="33" spans="1:6" x14ac:dyDescent="0.25">
      <c r="A33" t="s">
        <v>89</v>
      </c>
      <c r="B33" s="15">
        <v>3</v>
      </c>
      <c r="C33" s="21">
        <v>3120</v>
      </c>
      <c r="D33" s="8">
        <f>B33*C33</f>
        <v>9360</v>
      </c>
      <c r="E33" s="8">
        <f>D33*12</f>
        <v>112320</v>
      </c>
      <c r="F33" s="2" t="s">
        <v>86</v>
      </c>
    </row>
    <row r="34" spans="1:6" x14ac:dyDescent="0.25">
      <c r="A34" s="22" t="s">
        <v>90</v>
      </c>
      <c r="B34" s="23">
        <f>SUM(B30:B33)</f>
        <v>14</v>
      </c>
      <c r="C34" s="24">
        <f>IFERROR(D34/B34,"")</f>
        <v>2674.2857142857142</v>
      </c>
      <c r="D34" s="24">
        <f>SUM(D30:D33)</f>
        <v>37440</v>
      </c>
      <c r="E34" s="24">
        <f>SUM(E30:E33)</f>
        <v>449280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449294.53262786602</v>
      </c>
      <c r="C38" s="8">
        <f>E34</f>
        <v>449280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449294.53262786602</v>
      </c>
      <c r="C40" s="8">
        <f>C38+C39</f>
        <v>449280</v>
      </c>
    </row>
    <row r="41" spans="1:6" x14ac:dyDescent="0.25">
      <c r="A41" t="s">
        <v>99</v>
      </c>
      <c r="B41" s="8">
        <f>-B38*0.03</f>
        <v>-13478.835978835979</v>
      </c>
      <c r="C41" s="8">
        <f>-C38*Assumptions!$B$3</f>
        <v>-13478.4</v>
      </c>
      <c r="F41" s="2" t="s">
        <v>100</v>
      </c>
    </row>
    <row r="42" spans="1:6" x14ac:dyDescent="0.25">
      <c r="A42" s="22" t="s">
        <v>101</v>
      </c>
      <c r="B42" s="24">
        <f>B40+B41</f>
        <v>435815.69664903003</v>
      </c>
      <c r="C42" s="24">
        <f>C40+C41</f>
        <v>435801.59999999998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B22*Assumptions!$B$15</f>
        <v>63687.5</v>
      </c>
      <c r="D46" s="26">
        <f>C46</f>
        <v>63687.5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12332</v>
      </c>
      <c r="D47" s="26">
        <f t="shared" ref="D47:D53" si="1">IF(ISNUMBER(B47),MAX(B47,C47),C47)</f>
        <v>12332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21790.080000000002</v>
      </c>
      <c r="D48" s="26">
        <f t="shared" si="1"/>
        <v>21790.080000000002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16800</v>
      </c>
      <c r="D49" s="26">
        <f t="shared" si="1"/>
        <v>16800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B7*Assumptions!$B$9</f>
        <v>21000</v>
      </c>
      <c r="D50" s="26">
        <f t="shared" si="1"/>
        <v>21000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5600</v>
      </c>
      <c r="D51" s="26">
        <f t="shared" si="1"/>
        <v>5600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3500</v>
      </c>
      <c r="D52" s="26">
        <f t="shared" si="1"/>
        <v>3500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4200</v>
      </c>
      <c r="D53" s="26">
        <f t="shared" si="1"/>
        <v>4200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119925.69664903003</v>
      </c>
      <c r="C54" s="24">
        <f>SUM(C46:C53)</f>
        <v>148909.58000000002</v>
      </c>
      <c r="D54" s="24">
        <f>SUM(D46:D53)</f>
        <v>148909.58000000002</v>
      </c>
      <c r="E54" s="24">
        <f t="shared" si="0"/>
        <v>28983.883350969991</v>
      </c>
      <c r="F54" s="2" t="s">
        <v>122</v>
      </c>
    </row>
    <row r="55" spans="1:6" x14ac:dyDescent="0.25">
      <c r="A55" t="s">
        <v>123</v>
      </c>
      <c r="B55" s="8">
        <f>IFERROR(B54/B7,"")</f>
        <v>8566.1211892164301</v>
      </c>
      <c r="C55" s="8">
        <f>IFERROR(C54/B7,"")</f>
        <v>10636.398571428572</v>
      </c>
      <c r="D55" s="8">
        <f>IFERROR(D54/B7,"")</f>
        <v>10636.398571428572</v>
      </c>
    </row>
    <row r="56" spans="1:6" x14ac:dyDescent="0.25">
      <c r="A56" t="s">
        <v>124</v>
      </c>
      <c r="B56" s="18">
        <f>IFERROR(B54/B42,"")</f>
        <v>0.27517525773195883</v>
      </c>
      <c r="C56" s="18">
        <f>IFERROR(C54/C42,"")</f>
        <v>0.34169121912356454</v>
      </c>
      <c r="D56" s="18">
        <f>IF(C38&gt;0,IFERROR(D54/C42,""),"")</f>
        <v>0.34169121912356454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315890</v>
      </c>
      <c r="C61" s="24">
        <f>IF(C38&gt;0,C42-D54,"")</f>
        <v>286892.01999999996</v>
      </c>
    </row>
    <row r="62" spans="1:6" x14ac:dyDescent="0.25">
      <c r="A62" s="22" t="s">
        <v>128</v>
      </c>
      <c r="B62" s="18">
        <f>IFERROR(B61/B22,"")</f>
        <v>6.2E-2</v>
      </c>
      <c r="C62" s="18">
        <f>IF(C61="","",IFERROR(C61/B22,""))</f>
        <v>5.630854170755642E-2</v>
      </c>
      <c r="F62" s="2" t="s">
        <v>129</v>
      </c>
    </row>
    <row r="63" spans="1:6" x14ac:dyDescent="0.25">
      <c r="A63" t="s">
        <v>130</v>
      </c>
      <c r="B63" s="19">
        <f>IFERROR(B22/B38,"")</f>
        <v>11.339999999999998</v>
      </c>
      <c r="C63" s="19">
        <f>IF(C38&gt;0,IFERROR(B22/C38,""),"")</f>
        <v>11.340366809116809</v>
      </c>
    </row>
    <row r="64" spans="1:6" x14ac:dyDescent="0.25">
      <c r="A64" t="s">
        <v>131</v>
      </c>
      <c r="B64" s="8">
        <f>IFERROR(B61/B7,"")</f>
        <v>22563.571428571428</v>
      </c>
      <c r="C64" s="8">
        <f>IF(C61="","",IFERROR(C61/B7,""))</f>
        <v>20492.287142857142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3057000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3106318.0715792128</v>
      </c>
    </row>
    <row r="69" spans="1:6" x14ac:dyDescent="0.25">
      <c r="A69" s="22" t="s">
        <v>135</v>
      </c>
      <c r="B69" s="8">
        <f>IFERROR(MIN(B67,B68),"")</f>
        <v>3057000</v>
      </c>
    </row>
    <row r="70" spans="1:6" x14ac:dyDescent="0.25">
      <c r="A70" t="s">
        <v>136</v>
      </c>
      <c r="B70" s="8">
        <f>IFERROR(B22-B69,"")</f>
        <v>2038000</v>
      </c>
    </row>
    <row r="71" spans="1:6" x14ac:dyDescent="0.25">
      <c r="A71" t="s">
        <v>137</v>
      </c>
      <c r="B71" s="8">
        <f>IFERROR(-PMT(Assumptions!$B$22/12,Assumptions!$B$23*12,B69)*12,"")</f>
        <v>225869.69780441746</v>
      </c>
    </row>
    <row r="72" spans="1:6" x14ac:dyDescent="0.25">
      <c r="A72" t="s">
        <v>138</v>
      </c>
      <c r="B72" s="19">
        <f>IFERROR(C61/B71,"")</f>
        <v>1.2701660416990608</v>
      </c>
    </row>
    <row r="73" spans="1:6" x14ac:dyDescent="0.25">
      <c r="A73" t="s">
        <v>139</v>
      </c>
      <c r="B73" s="8">
        <f>IFERROR(C61-B71,"")</f>
        <v>61022.322195582499</v>
      </c>
    </row>
    <row r="74" spans="1:6" x14ac:dyDescent="0.25">
      <c r="A74" t="s">
        <v>140</v>
      </c>
      <c r="B74" s="18">
        <f>IFERROR(B73/B70,"")</f>
        <v>2.9942258192140577E-2</v>
      </c>
    </row>
    <row r="76" spans="1:6" x14ac:dyDescent="0.25">
      <c r="A76" s="2" t="s">
        <v>141</v>
      </c>
    </row>
  </sheetData>
  <hyperlinks>
    <hyperlink ref="A3" r:id="rId1" xr:uid="{58439CC7-F636-4EF3-B5B5-901BD02C367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02 2001 Penmar Ave</vt:lpstr>
      <vt:lpstr>'02 2001 Penmar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2026-09-17T19:46:09Z</dcterms:created>
  <dcterms:modified xsi:type="dcterms:W3CDTF">2026-09-17T19:46:11Z</dcterms:modified>
</cp:coreProperties>
</file>