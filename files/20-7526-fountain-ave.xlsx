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A8CF464-DD62-4DBB-88F6-7C802394E675}" xr6:coauthVersionLast="47" xr6:coauthVersionMax="47" xr10:uidLastSave="{00000000-0000-0000-0000-000000000000}"/>
  <bookViews>
    <workbookView xWindow="-120" yWindow="-120" windowWidth="29040" windowHeight="15720" activeTab="1" xr2:uid="{3B6A179A-9CE7-4349-AC8B-0E78E70252D4}"/>
  </bookViews>
  <sheets>
    <sheet name="Assumptions" sheetId="1" r:id="rId1"/>
    <sheet name="20 7526 Fountain Ave" sheetId="2" r:id="rId2"/>
  </sheets>
  <definedNames>
    <definedName name="_xlnm.Print_Area" localSheetId="1">'20 7526 Fountain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2" i="2"/>
  <c r="C32" i="2" s="1"/>
  <c r="B32" i="2"/>
  <c r="D31" i="2"/>
  <c r="E31" i="2" s="1"/>
  <c r="D30" i="2"/>
  <c r="E30" i="2" s="1"/>
  <c r="B24" i="2"/>
  <c r="B23" i="2"/>
  <c r="E32" i="2" l="1"/>
  <c r="C37" i="2" s="1"/>
  <c r="B53" i="2"/>
  <c r="B60" i="2"/>
  <c r="D45" i="2"/>
  <c r="B55" i="2" l="1"/>
  <c r="B54" i="2"/>
  <c r="B61" i="2"/>
  <c r="B63" i="2"/>
  <c r="C40" i="2"/>
  <c r="C62" i="2"/>
  <c r="C39" i="2"/>
  <c r="C41" i="2" s="1"/>
  <c r="C47" i="2" s="1"/>
  <c r="D47" i="2" l="1"/>
  <c r="D53" i="2" s="1"/>
  <c r="C53" i="2"/>
  <c r="C55" i="2" l="1"/>
  <c r="C54" i="2"/>
  <c r="D54" i="2"/>
  <c r="E53" i="2"/>
  <c r="D55" i="2"/>
  <c r="B56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<sst xmlns="http://schemas.openxmlformats.org/spreadsheetml/2006/main" count="149" uniqueCount="141">
  <si>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</si>
  <si>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</si>
  <si>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</si>
  <si>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</si>
  <si>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</si>
  <si>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</si>
  <si>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</si>
  <si>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</si>
  <si>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</si>
  <si>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</si>
  <si>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</si>
  <si>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</si>
  <si>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</si>
  <si>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</si>
  <si>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</si>
  <si>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</si>
  <si>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</si>
  <si>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</si>
  <si>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</si>
  <si>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</si>
  <si>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</si>
  <si>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</si>
  <si>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</si>
  <si>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</si>
  <si>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</si>
  <si>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</si>
  <si>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</si>
  <si>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</si>
  <si>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</si>
  <si>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</si>
  <si>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</si>
  <si>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</si>
  <si>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</si>
  <si>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</si>
  <si>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</si>
  <si>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</si>
  <si>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</si>
  <si>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</si>
  <si>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</si>
  <si>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</si>
  <si>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</si>
  <si>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</si>
  <si>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</si>
  <si>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</si>
  <si>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</si>
  <si>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</si>
  <si>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</si>
  <si>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7526 Fountain Ave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</si>
  <si>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</si>
  <si>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</si>
  <si>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</si>
  <si>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</si>
  <si>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</si>
  <si>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</si>
  <si>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</si>
  <si>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</si>
  <si>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</si>
  <si>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</si>
  <si>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</si>
  <si>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</si>
  <si>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WDR2 - Residential</t>
  </si>
  <si>
    <t>Occupancy per listing</t>
  </si>
  <si>
    <t>90%</t>
  </si>
  <si>
    <t>APN</t>
  </si>
  <si>
    <t>5530-005-006</t>
  </si>
  <si>
    <t>Assessed value (current)</t>
  </si>
  <si>
    <t>Listing broker(s)</t>
  </si>
  <si>
    <t>Mike Hanassab, Steven Goldstein</t>
  </si>
  <si>
    <t>Date on market</t>
  </si>
  <si>
    <t>9/1/2026</t>
  </si>
  <si>
    <t>Listing last updated</t>
  </si>
  <si>
    <t>9/15/2026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</si>
  <si>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</si>
  <si>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</si>
  <si>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</si>
  <si>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</si>
  <si>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</si>
  <si>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</si>
  <si>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</si>
  <si>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</si>
  <si>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</si>
  <si>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</si>
  <si>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</si>
  <si>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</si>
  <si>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</si>
  <si>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(~496 SF)</t>
  </si>
  <si>
    <t>LoopNet published avg rent by unit type</t>
  </si>
  <si>
    <t>1 Bd / 1 Ba  (~687 SF)</t>
  </si>
  <si>
    <t>Total / weighted avg</t>
  </si>
  <si>
    <t>Unit mix rows total 9 vs 10 units in listing facts - verify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</si>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</sst>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1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i/>
      <sz val="11"/>
      <color rgb="FFC00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7" fillId="4" borderId="0" xfId="0" applyFont="1" applyFill="1"/>
    <xf numFmtId="164" fontId="0" fillId="5" borderId="0" xfId="0" applyNumberForma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D0BDFB1-3031-41B9-B17F-1902BC9D830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26-Fountain-Ave-West-Hollywood-CA/419671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FB87-2700-490C-BB7E-8435F3B2BD2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4851-DD54-469B-B424-FCECB6E42286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7747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1955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868661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2400000</v>
      </c>
    </row>
    <row r="23" spans="1:6" x14ac:dyDescent="0.25">
      <c r="A23" t="s">
        <v>74</v>
      </c>
      <c r="B23" s="8">
        <f>IFERROR(B22/B7,"")</f>
        <v>240000</v>
      </c>
    </row>
    <row r="24" spans="1:6" x14ac:dyDescent="0.25">
      <c r="A24" t="s">
        <v>75</v>
      </c>
      <c r="B24" s="16">
        <f>IFERROR(B22/B8,"")</f>
        <v>309.79734090615722</v>
      </c>
    </row>
    <row r="25" spans="1:6" x14ac:dyDescent="0.25">
      <c r="A25" t="s">
        <v>76</v>
      </c>
      <c r="B25" s="17">
        <v>5.2900000000000003E-2</v>
      </c>
    </row>
    <row r="26" spans="1:6" x14ac:dyDescent="0.25">
      <c r="A26" t="s">
        <v>77</v>
      </c>
      <c r="B26" s="18">
        <v>11.44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2</v>
      </c>
      <c r="C30" s="4">
        <v>1183</v>
      </c>
      <c r="D30" s="8">
        <f>B30*C30</f>
        <v>2366</v>
      </c>
      <c r="E30" s="8">
        <f>D30*12</f>
        <v>28392</v>
      </c>
      <c r="F30" s="2" t="s">
        <v>86</v>
      </c>
    </row>
    <row r="31" spans="1:6" x14ac:dyDescent="0.25">
      <c r="A31" t="s">
        <v>87</v>
      </c>
      <c r="B31" s="14">
        <v>7</v>
      </c>
      <c r="C31" s="4">
        <v>1575</v>
      </c>
      <c r="D31" s="8">
        <f>B31*C31</f>
        <v>11025</v>
      </c>
      <c r="E31" s="8">
        <f>D31*12</f>
        <v>132300</v>
      </c>
      <c r="F31" s="2" t="s">
        <v>86</v>
      </c>
    </row>
    <row r="32" spans="1:6" x14ac:dyDescent="0.25">
      <c r="A32" s="20" t="s">
        <v>88</v>
      </c>
      <c r="B32" s="21">
        <f>SUM(B30:B31)</f>
        <v>9</v>
      </c>
      <c r="C32" s="22">
        <f>IFERROR(D32/B32,"")</f>
        <v>1487.8888888888889</v>
      </c>
      <c r="D32" s="22">
        <f>SUM(D30:D31)</f>
        <v>13391</v>
      </c>
      <c r="E32" s="22">
        <f>SUM(E30:E31)</f>
        <v>160692</v>
      </c>
    </row>
    <row r="33" spans="1:6" x14ac:dyDescent="0.25">
      <c r="A33" s="23" t="s">
        <v>89</v>
      </c>
    </row>
    <row r="35" spans="1:6" x14ac:dyDescent="0.25">
      <c r="A35" s="12" t="s">
        <v>90</v>
      </c>
      <c r="B35" s="13"/>
      <c r="C35" s="13"/>
      <c r="D35" s="13"/>
      <c r="E35" s="13"/>
      <c r="F35" s="13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209790.2097902098</v>
      </c>
      <c r="C37" s="8">
        <f>E32</f>
        <v>160692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0" t="s">
        <v>97</v>
      </c>
      <c r="B39" s="8">
        <f>B37+B38</f>
        <v>209790.2097902098</v>
      </c>
      <c r="C39" s="8">
        <f>C37+C38</f>
        <v>160692</v>
      </c>
    </row>
    <row r="40" spans="1:6" x14ac:dyDescent="0.25">
      <c r="A40" t="s">
        <v>98</v>
      </c>
      <c r="B40" s="8">
        <f>-B37*0.03</f>
        <v>-6293.7062937062938</v>
      </c>
      <c r="C40" s="8">
        <f>-C37*Assumptions!$B$3</f>
        <v>-4820.76</v>
      </c>
      <c r="F40" s="2" t="s">
        <v>99</v>
      </c>
    </row>
    <row r="41" spans="1:6" x14ac:dyDescent="0.25">
      <c r="A41" s="20" t="s">
        <v>100</v>
      </c>
      <c r="B41" s="22">
        <f>B39+B40</f>
        <v>203496.50349650352</v>
      </c>
      <c r="C41" s="22">
        <f>C39+C40</f>
        <v>155871.24</v>
      </c>
    </row>
    <row r="43" spans="1:6" x14ac:dyDescent="0.25">
      <c r="A43" s="12" t="s">
        <v>101</v>
      </c>
      <c r="B43" s="13"/>
      <c r="C43" s="13"/>
      <c r="D43" s="13"/>
      <c r="E43" s="13"/>
      <c r="F43" s="13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B22*Assumptions!$B$18</f>
        <v>28800</v>
      </c>
      <c r="D45" s="25">
        <f>C45</f>
        <v>28800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9747</v>
      </c>
      <c r="D46" s="25">
        <f t="shared" ref="D46:D52" si="1">IF(ISNUMBER(B46),MAX(B46,C46),C46)</f>
        <v>9747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7793.5619999999999</v>
      </c>
      <c r="D47" s="25">
        <f t="shared" si="1"/>
        <v>7793.5619999999999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B7*Assumptions!$B$11</f>
        <v>16000</v>
      </c>
      <c r="D49" s="25">
        <f t="shared" si="1"/>
        <v>16000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0" t="s">
        <v>120</v>
      </c>
      <c r="B53" s="22">
        <f>B41-B22*B25</f>
        <v>76536.503496503516</v>
      </c>
      <c r="C53" s="22">
        <f>SUM(C45:C52)</f>
        <v>83840.562000000005</v>
      </c>
      <c r="D53" s="22">
        <f>SUM(D45:D52)</f>
        <v>83840.562000000005</v>
      </c>
      <c r="E53" s="22">
        <f t="shared" si="0"/>
        <v>7304.0585034964897</v>
      </c>
      <c r="F53" s="2" t="s">
        <v>121</v>
      </c>
    </row>
    <row r="54" spans="1:6" x14ac:dyDescent="0.25">
      <c r="A54" t="s">
        <v>122</v>
      </c>
      <c r="B54" s="8">
        <f>IFERROR(B53/B7,"")</f>
        <v>7653.6503496503519</v>
      </c>
      <c r="C54" s="8">
        <f>IFERROR(C53/B7,"")</f>
        <v>8384.0562000000009</v>
      </c>
      <c r="D54" s="8">
        <f>IFERROR(D53/B7,"")</f>
        <v>8384.0562000000009</v>
      </c>
    </row>
    <row r="55" spans="1:6" x14ac:dyDescent="0.25">
      <c r="A55" t="s">
        <v>123</v>
      </c>
      <c r="B55" s="17">
        <f>IFERROR(B53/B41,"")</f>
        <v>0.37610721649484541</v>
      </c>
      <c r="C55" s="17">
        <f>IFERROR(C53/C41,"")</f>
        <v>0.53788346073335924</v>
      </c>
      <c r="D55" s="17">
        <f>IF(C37&gt;0,IFERROR(D53/C41,""),"")</f>
        <v>0.53788346073335924</v>
      </c>
    </row>
    <row r="56" spans="1:6" x14ac:dyDescent="0.25">
      <c r="A56" s="20" t="s">
        <v>124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125</v>
      </c>
      <c r="B58" s="13"/>
      <c r="C58" s="13"/>
      <c r="D58" s="13"/>
      <c r="E58" s="13"/>
      <c r="F58" s="13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0" t="s">
        <v>126</v>
      </c>
      <c r="B60" s="22">
        <f>B41-B53</f>
        <v>126960</v>
      </c>
      <c r="C60" s="22">
        <f>IF(C37&gt;0,C41-D53,"")</f>
        <v>72030.677999999985</v>
      </c>
    </row>
    <row r="61" spans="1:6" x14ac:dyDescent="0.25">
      <c r="A61" s="20" t="s">
        <v>127</v>
      </c>
      <c r="B61" s="17">
        <f>IFERROR(B60/B22,"")</f>
        <v>5.2900000000000003E-2</v>
      </c>
      <c r="C61" s="17">
        <f>IF(C60="","",IFERROR(C60/B22,""))</f>
        <v>3.0012782499999995E-2</v>
      </c>
      <c r="F61" s="2" t="s">
        <v>128</v>
      </c>
    </row>
    <row r="62" spans="1:6" x14ac:dyDescent="0.25">
      <c r="A62" t="s">
        <v>129</v>
      </c>
      <c r="B62" s="18">
        <f>IFERROR(B22/B37,"")</f>
        <v>11.44</v>
      </c>
      <c r="C62" s="18">
        <f>IF(C37&gt;0,IFERROR(B22/C37,""),"")</f>
        <v>14.935404376073482</v>
      </c>
    </row>
    <row r="63" spans="1:6" x14ac:dyDescent="0.25">
      <c r="A63" t="s">
        <v>130</v>
      </c>
      <c r="B63" s="8">
        <f>IFERROR(B60/B7,"")</f>
        <v>12696</v>
      </c>
      <c r="C63" s="8">
        <f>IF(C60="","",IFERROR(C60/B7,""))</f>
        <v>7203.0677999999989</v>
      </c>
    </row>
    <row r="65" spans="1:6" x14ac:dyDescent="0.25">
      <c r="A65" s="12" t="s">
        <v>131</v>
      </c>
      <c r="B65" s="13"/>
      <c r="C65" s="13"/>
      <c r="D65" s="13"/>
      <c r="E65" s="13"/>
      <c r="F65" s="13"/>
    </row>
    <row r="66" spans="1:6" x14ac:dyDescent="0.25">
      <c r="A66" t="s">
        <v>132</v>
      </c>
      <c r="B66" s="8">
        <f>IFERROR(B22*Assumptions!$B$20,"")</f>
        <v>1440000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779910.84164524067</v>
      </c>
    </row>
    <row r="68" spans="1:6" x14ac:dyDescent="0.25">
      <c r="A68" s="20" t="s">
        <v>134</v>
      </c>
      <c r="B68" s="8">
        <f>IFERROR(MIN(B66,B67),"")</f>
        <v>779910.84164524067</v>
      </c>
    </row>
    <row r="69" spans="1:6" x14ac:dyDescent="0.25">
      <c r="A69" t="s">
        <v>135</v>
      </c>
      <c r="B69" s="8">
        <f>IFERROR(B22-B68,"")</f>
        <v>1620089.1583547592</v>
      </c>
    </row>
    <row r="70" spans="1:6" x14ac:dyDescent="0.25">
      <c r="A70" t="s">
        <v>136</v>
      </c>
      <c r="B70" s="8">
        <f>IFERROR(-PMT(Assumptions!$B$22/12,Assumptions!$B$23*12,B68)*12,"")</f>
        <v>57624.542399999809</v>
      </c>
    </row>
    <row r="71" spans="1:6" x14ac:dyDescent="0.25">
      <c r="A71" t="s">
        <v>137</v>
      </c>
      <c r="B71" s="18">
        <f>IFERROR(C60/B70,"")</f>
        <v>1.2500000000000038</v>
      </c>
    </row>
    <row r="72" spans="1:6" x14ac:dyDescent="0.25">
      <c r="A72" t="s">
        <v>138</v>
      </c>
      <c r="B72" s="8">
        <f>IFERROR(C60-B70,"")</f>
        <v>14406.135600000176</v>
      </c>
    </row>
    <row r="73" spans="1:6" x14ac:dyDescent="0.25">
      <c r="A73" t="s">
        <v>139</v>
      </c>
      <c r="B73" s="17">
        <f>IFERROR(B72/B69,"")</f>
        <v>8.8921869057070682E-3</v>
      </c>
    </row>
    <row r="75" spans="1:6" x14ac:dyDescent="0.25">
      <c r="A75" s="2" t="s">
        <v>140</v>
      </c>
    </row>
  </sheetData>
  <hyperlinks>
    <hyperlink ref="A3" r:id="rId1" xr:uid="{8349A997-4B8F-4641-9866-423C2C283EF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20 7526 Fountain Ave</vt:lpstr>
      <vt:lpstr>'20 7526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2026-09-17T19:26:09Z</dcterms:created>
  <dcterms:modified xsi:type="dcterms:W3CDTF">2026-09-17T19:26:12Z</dcterms:modified>
</cp:coreProperties>
</file>