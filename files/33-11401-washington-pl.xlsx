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B897D5C-2AEE-422F-A615-859BD7E38087}" xr6:coauthVersionLast="47" xr6:coauthVersionMax="47" xr10:uidLastSave="{00000000-0000-0000-0000-000000000000}"/>
  <bookViews>
    <workbookView xWindow="-120" yWindow="-120" windowWidth="29040" windowHeight="15720" activeTab="1" xr2:uid="{1AF2E29F-370C-48A6-A17A-75E73A761A09}"/>
  </bookViews>
  <sheets>
    <sheet name="Assumptions" sheetId="1" r:id="rId1"/>
    <sheet name="33 11401 Washington Pl" sheetId="2" r:id="rId2"/>
  </sheets>
  <definedNames>
    <definedName name="_xlnm.Print_Area" localSheetId="1">'33 11401 Washington Pl'!$A$1:$N$80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39" i="2"/>
  <c r="C38" i="2"/>
  <c r="C40" i="2" s="1"/>
  <c r="C46" i="2" s="1"/>
  <c r="D46" i="2" s="1"/>
  <c r="C61" i="2"/>
  <c r="D44" i="2"/>
  <c r="D52" i="2" s="1"/>
  <c r="D53" i="2" s="1"/>
  <c r="D54" i="2" l="1"/>
  <c r="C59" i="2"/>
  <c r="C52" i="2"/>
  <c r="B60" i="2"/>
  <c r="B62" i="2"/>
  <c r="B53" i="2"/>
  <c r="B55" i="2"/>
  <c r="E52" i="2"/>
  <c r="B54" i="2"/>
  <c r="C54" i="2" l="1"/>
  <c r="C53" i="2"/>
  <c r="C60" i="2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<sst xmlns="http://schemas.openxmlformats.org/spreadsheetml/2006/main" count="148" uniqueCount="140">
  <si>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</si>
  <si>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</si>
  <si>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</si>
  <si>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</si>
  <si>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</si>
  <si>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</si>
  <si>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</si>
  <si>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</si>
  <si>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</si>
  <si>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</si>
  <si>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</si>
  <si>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</si>
  <si>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</si>
  <si>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</si>
  <si>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</si>
  <si>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</si>
  <si>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</si>
  <si>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</si>
  <si>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</si>
  <si>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</si>
  <si>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</si>
  <si>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</si>
  <si>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</si>
  <si>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</si>
  <si>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</si>
  <si>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</si>
  <si>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</si>
  <si>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</si>
  <si>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</si>
  <si>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</si>
  <si>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</si>
  <si>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</si>
  <si>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</si>
  <si>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</si>
  <si>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</si>
  <si>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</si>
  <si>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</si>
  <si>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</si>
  <si>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</si>
  <si>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</si>
  <si>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</si>
  <si>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</si>
  <si>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</si>
  <si>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</si>
  <si>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</si>
  <si>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</si>
  <si>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</si>
  <si>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11401 Washington Pl</t>
  </si>
  <si>
    <t>Los Angeles, CA 90066  |  Mar Vista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</si>
  <si>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</si>
  <si>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</si>
  <si>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</si>
  <si>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</si>
  <si>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</si>
  <si>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</si>
  <si>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</si>
  <si>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</si>
  <si>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</si>
  <si>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</si>
  <si>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</si>
  <si>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</t>
  </si>
  <si>
    <t>Occupancy per listing</t>
  </si>
  <si>
    <t>90%</t>
  </si>
  <si>
    <t>APN</t>
  </si>
  <si>
    <t>4214-007-004</t>
  </si>
  <si>
    <t>Assessed value (current)</t>
  </si>
  <si>
    <t>Listing broker(s)</t>
  </si>
  <si>
    <t>Jonathan Nikfarjam, Allen Gholian</t>
  </si>
  <si>
    <t>Date on market</t>
  </si>
  <si>
    <t>6/24/2026</t>
  </si>
  <si>
    <t>Listing last updated</t>
  </si>
  <si>
    <t>8/18/2026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</si>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</sst>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09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FF52473-DACA-41F3-B0F4-1DCE453BDF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0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401-Washington-Pl-Los-Angeles-CA/410458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F856-FD46-4F8D-AA16-34B46C23BD2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6AEB-7692-4464-B377-AD242F8225A7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7129</v>
      </c>
    </row>
    <row r="9" spans="1:3" x14ac:dyDescent="0.25">
      <c r="A9" t="s">
        <v>54</v>
      </c>
      <c r="B9" s="14">
        <v>7841</v>
      </c>
    </row>
    <row r="10" spans="1:3" x14ac:dyDescent="0.25">
      <c r="A10" t="s">
        <v>55</v>
      </c>
      <c r="B10" s="15">
        <v>0.18</v>
      </c>
    </row>
    <row r="11" spans="1:3" x14ac:dyDescent="0.25">
      <c r="A11" t="s">
        <v>56</v>
      </c>
      <c r="B11">
        <v>1954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1064033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2795000</v>
      </c>
    </row>
    <row r="23" spans="1:6" x14ac:dyDescent="0.25">
      <c r="A23" t="s">
        <v>74</v>
      </c>
      <c r="B23" s="8">
        <f>IFERROR(B22/B7,"")</f>
        <v>279500</v>
      </c>
    </row>
    <row r="24" spans="1:6" x14ac:dyDescent="0.25">
      <c r="A24" t="s">
        <v>75</v>
      </c>
      <c r="B24" s="16">
        <f>IFERROR(B22/B8,"")</f>
        <v>392.06059755926498</v>
      </c>
    </row>
    <row r="25" spans="1:6" x14ac:dyDescent="0.25">
      <c r="A25" t="s">
        <v>76</v>
      </c>
      <c r="B25" s="17">
        <v>5.2999999999999999E-2</v>
      </c>
    </row>
    <row r="26" spans="1:6" x14ac:dyDescent="0.25">
      <c r="A26" t="s">
        <v>77</v>
      </c>
      <c r="B26" s="18">
        <v>12.3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7</v>
      </c>
      <c r="C30" s="4">
        <v>1885</v>
      </c>
      <c r="D30" s="8">
        <f>B30*C30</f>
        <v>13195</v>
      </c>
      <c r="E30" s="8">
        <f>D30*12</f>
        <v>158340</v>
      </c>
      <c r="F30" s="2" t="s">
        <v>86</v>
      </c>
    </row>
    <row r="31" spans="1:6" x14ac:dyDescent="0.25">
      <c r="A31" t="s">
        <v>87</v>
      </c>
      <c r="B31" s="14">
        <v>3</v>
      </c>
      <c r="C31" s="4">
        <v>1910</v>
      </c>
      <c r="D31" s="8">
        <f>B31*C31</f>
        <v>5730</v>
      </c>
      <c r="E31" s="8">
        <f>D31*12</f>
        <v>68760</v>
      </c>
      <c r="F31" s="2" t="s">
        <v>86</v>
      </c>
    </row>
    <row r="32" spans="1:6" x14ac:dyDescent="0.25">
      <c r="A32" s="20" t="s">
        <v>88</v>
      </c>
      <c r="B32" s="21">
        <f>SUM(B30:B31)</f>
        <v>10</v>
      </c>
      <c r="C32" s="22">
        <f>IFERROR(D32/B32,"")</f>
        <v>1892.5</v>
      </c>
      <c r="D32" s="22">
        <f>SUM(D30:D31)</f>
        <v>18925</v>
      </c>
      <c r="E32" s="22">
        <f>SUM(E30:E31)</f>
        <v>227100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227235.77235772359</v>
      </c>
      <c r="C36" s="8">
        <f>E32</f>
        <v>227100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227235.77235772359</v>
      </c>
      <c r="C38" s="8">
        <f>C36+C37</f>
        <v>227100</v>
      </c>
    </row>
    <row r="39" spans="1:6" x14ac:dyDescent="0.25">
      <c r="A39" t="s">
        <v>97</v>
      </c>
      <c r="B39" s="8">
        <f>-B36*0.03</f>
        <v>-6817.0731707317073</v>
      </c>
      <c r="C39" s="8">
        <f>-C36*Assumptions!$B$3</f>
        <v>-6813</v>
      </c>
      <c r="F39" s="2" t="s">
        <v>98</v>
      </c>
    </row>
    <row r="40" spans="1:6" x14ac:dyDescent="0.25">
      <c r="A40" s="20" t="s">
        <v>99</v>
      </c>
      <c r="B40" s="22">
        <f>B38+B39</f>
        <v>220418.69918699187</v>
      </c>
      <c r="C40" s="22">
        <f>C38+C39</f>
        <v>220287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B22*Assumptions!$B$15</f>
        <v>34937.5</v>
      </c>
      <c r="D44" s="24">
        <f>C44</f>
        <v>34937.5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9129</v>
      </c>
      <c r="D45" s="24">
        <f t="shared" ref="D45:D51" si="1">IF(ISNUMBER(B45),MAX(B45,C45),C45)</f>
        <v>9129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11014.35</v>
      </c>
      <c r="D46" s="24">
        <f t="shared" si="1"/>
        <v>11014.35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15000</v>
      </c>
      <c r="D48" s="24">
        <f t="shared" si="1"/>
        <v>15000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72283.699186991871</v>
      </c>
      <c r="C52" s="22">
        <f>SUM(C44:C51)</f>
        <v>91580.85</v>
      </c>
      <c r="D52" s="22">
        <f>SUM(D44:D51)</f>
        <v>91580.85</v>
      </c>
      <c r="E52" s="22">
        <f t="shared" si="0"/>
        <v>19297.150813008135</v>
      </c>
      <c r="F52" s="2" t="s">
        <v>120</v>
      </c>
    </row>
    <row r="53" spans="1:6" x14ac:dyDescent="0.25">
      <c r="A53" t="s">
        <v>121</v>
      </c>
      <c r="B53" s="8">
        <f>IFERROR(B52/B7,"")</f>
        <v>7228.3699186991871</v>
      </c>
      <c r="C53" s="8">
        <f>IFERROR(C52/B7,"")</f>
        <v>9158.0850000000009</v>
      </c>
      <c r="D53" s="8">
        <f>IFERROR(D52/B7,"")</f>
        <v>9158.0850000000009</v>
      </c>
    </row>
    <row r="54" spans="1:6" x14ac:dyDescent="0.25">
      <c r="A54" t="s">
        <v>122</v>
      </c>
      <c r="B54" s="17">
        <f>IFERROR(B52/B40,"")</f>
        <v>0.32793814432989693</v>
      </c>
      <c r="C54" s="17">
        <f>IFERROR(C52/C40,"")</f>
        <v>0.41573424668727615</v>
      </c>
      <c r="D54" s="17">
        <f>IF(C36&gt;0,IFERROR(D52/C40,""),"")</f>
        <v>0.41573424668727615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148135</v>
      </c>
      <c r="C59" s="22">
        <f>IF(C36&gt;0,C40-D52,"")</f>
        <v>128706.15</v>
      </c>
    </row>
    <row r="60" spans="1:6" x14ac:dyDescent="0.25">
      <c r="A60" s="20" t="s">
        <v>126</v>
      </c>
      <c r="B60" s="17">
        <f>IFERROR(B59/B22,"")</f>
        <v>5.2999999999999999E-2</v>
      </c>
      <c r="C60" s="17">
        <f>IF(C59="","",IFERROR(C59/B22,""))</f>
        <v>4.6048711985688731E-2</v>
      </c>
      <c r="F60" s="2" t="s">
        <v>127</v>
      </c>
    </row>
    <row r="61" spans="1:6" x14ac:dyDescent="0.25">
      <c r="A61" t="s">
        <v>128</v>
      </c>
      <c r="B61" s="18">
        <f>IFERROR(B22/B36,"")</f>
        <v>12.299999999999999</v>
      </c>
      <c r="C61" s="18">
        <f>IF(C36&gt;0,IFERROR(B22/C36,""),"")</f>
        <v>12.307353588727432</v>
      </c>
    </row>
    <row r="62" spans="1:6" x14ac:dyDescent="0.25">
      <c r="A62" t="s">
        <v>129</v>
      </c>
      <c r="B62" s="8">
        <f>IFERROR(B59/B7,"")</f>
        <v>14813.5</v>
      </c>
      <c r="C62" s="8">
        <f>IF(C59="","",IFERROR(C59/B7,""))</f>
        <v>12870.615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1677000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1393563.4726556176</v>
      </c>
    </row>
    <row r="67" spans="1:2" x14ac:dyDescent="0.25">
      <c r="A67" s="20" t="s">
        <v>133</v>
      </c>
      <c r="B67" s="8">
        <f>IFERROR(MIN(B65,B66),"")</f>
        <v>1393563.4726556176</v>
      </c>
    </row>
    <row r="68" spans="1:2" x14ac:dyDescent="0.25">
      <c r="A68" t="s">
        <v>134</v>
      </c>
      <c r="B68" s="8">
        <f>IFERROR(B22-B67,"")</f>
        <v>1401436.5273443824</v>
      </c>
    </row>
    <row r="69" spans="1:2" x14ac:dyDescent="0.25">
      <c r="A69" t="s">
        <v>135</v>
      </c>
      <c r="B69" s="8">
        <f>IFERROR(-PMT(Assumptions!$B$22/12,Assumptions!$B$23*12,B67)*12,"")</f>
        <v>102964.91999999965</v>
      </c>
    </row>
    <row r="70" spans="1:2" x14ac:dyDescent="0.25">
      <c r="A70" t="s">
        <v>136</v>
      </c>
      <c r="B70" s="18">
        <f>IFERROR(C59/B69,"")</f>
        <v>1.2500000000000042</v>
      </c>
    </row>
    <row r="71" spans="1:2" x14ac:dyDescent="0.25">
      <c r="A71" t="s">
        <v>137</v>
      </c>
      <c r="B71" s="8">
        <f>IFERROR(C59-B69,"")</f>
        <v>25741.230000000345</v>
      </c>
    </row>
    <row r="72" spans="1:2" x14ac:dyDescent="0.25">
      <c r="A72" t="s">
        <v>138</v>
      </c>
      <c r="B72" s="17">
        <f>IFERROR(B71/B68,"")</f>
        <v>1.8367745879135929E-2</v>
      </c>
    </row>
    <row r="74" spans="1:2" x14ac:dyDescent="0.25">
      <c r="A74" s="2" t="s">
        <v>139</v>
      </c>
    </row>
  </sheetData>
  <hyperlinks>
    <hyperlink ref="A3" r:id="rId1" xr:uid="{6CBBF7AF-CBCD-4CCD-BABF-47E525734134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33 11401 Washington Pl</vt:lpstr>
      <vt:lpstr>'33 11401 Washington Pl'!Print_Area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2026-09-17T18:57:36Z</dcterms:created>
  <dcterms:modified xsi:type="dcterms:W3CDTF">2026-09-17T18:57:38Z</dcterms:modified>
</cp:coreProperties>
</file>