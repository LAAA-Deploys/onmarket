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ABD12AE5-59B2-4095-9AE8-40758482B14E}" xr6:coauthVersionLast="47" xr6:coauthVersionMax="47" xr10:uidLastSave="{00000000-0000-0000-0000-000000000000}"/>
  <bookViews>
    <workbookView xWindow="-120" yWindow="-120" windowWidth="29040" windowHeight="15720" activeTab="1" xr2:uid="{BB4D4B0C-4FC8-45ED-8BD2-D101BDF7B19E}"/>
  </bookViews>
  <sheets>
    <sheet name="Assumptions" sheetId="1" r:id="rId1"/>
    <sheet name="07 2015-2021 Chariton St" sheetId="2" r:id="rId2"/>
  </sheets>
  <definedNames>
    <definedName name="_xlnm.Print_Area" localSheetId="1">'07 2015-2021 Chariton St'!$A$1:$N$78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C47" i="2"/>
  <c r="D47" i="2" s="1"/>
  <c r="E46" i="2"/>
  <c r="E45" i="2"/>
  <c r="C45" i="2"/>
  <c r="D45" i="2" s="1"/>
  <c r="E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B52" i="2" l="1"/>
  <c r="B59" i="2"/>
  <c r="C39" i="2"/>
  <c r="C61" i="2"/>
  <c r="C38" i="2"/>
  <c r="C40" i="2" s="1"/>
  <c r="C46" i="2" s="1"/>
  <c r="D46" i="2" s="1"/>
  <c r="D44" i="2"/>
  <c r="D52" i="2" s="1"/>
  <c r="D53" i="2" s="1"/>
  <c r="D54" i="2" l="1"/>
  <c r="B60" i="2"/>
  <c r="B62" i="2"/>
  <c r="C52" i="2"/>
  <c r="C59" i="2"/>
  <c r="B55" i="2"/>
  <c r="B53" i="2"/>
  <c r="E52" i="2"/>
  <c r="B54" i="2"/>
  <c r="C53" i="2" l="1"/>
  <c r="C54" i="2"/>
  <c r="C60" i="2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<sst xmlns="http://schemas.openxmlformats.org/spreadsheetml/2006/main" count="149" uniqueCount="140">
  <si>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</si>
  <si>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</si>
  <si>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</si>
  <si>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</si>
  <si>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</si>
  <si>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</si>
  <si>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</si>
  <si>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</si>
  <si>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</si>
  <si>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</si>
  <si>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</si>
  <si>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</si>
  <si>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</si>
  <si>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</si>
  <si>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</si>
  <si>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</si>
  <si>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</si>
  <si>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</si>
  <si>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</si>
  <si>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</si>
  <si>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</si>
  <si>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</si>
  <si>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</si>
  <si>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</si>
  <si>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</si>
  <si>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</si>
  <si>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</si>
  <si>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</si>
  <si>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</si>
  <si>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</si>
  <si>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</si>
  <si>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</si>
  <si>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</si>
  <si>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</si>
  <si>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</si>
  <si>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</si>
  <si>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</si>
  <si>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</si>
  <si>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</si>
  <si>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</si>
  <si>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</si>
  <si>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</si>
  <si>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</si>
  <si>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</si>
  <si>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</si>
  <si>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</si>
  <si>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</si>
  <si>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2015-2021 Chariton St</t>
  </si>
  <si>
    <t>Los Angeles, CA 90034  |  Palms</t>
  </si>
  <si>
    <t>LoopNet listing</t>
  </si>
  <si>
    <t>Data pulled 9/17/2026 from LoopNet public listing</t>
  </si>
  <si>
    <t>NOTE: Two adjacent parcels; 10 of 12 are 3-bed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</si>
  <si>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</si>
  <si>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</si>
  <si>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</si>
  <si>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</si>
  <si>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</si>
  <si>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</si>
  <si>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</si>
  <si>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</si>
  <si>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</si>
  <si>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LARD1.5</t>
  </si>
  <si>
    <t>Occupancy per listing</t>
  </si>
  <si>
    <t>100%</t>
  </si>
  <si>
    <t>APN</t>
  </si>
  <si>
    <t>Multiple</t>
  </si>
  <si>
    <t>Assessed value (current)</t>
  </si>
  <si>
    <t>Listing broker(s)</t>
  </si>
  <si>
    <t>Raymond A. Rodriguez IV, Matt Freedman</t>
  </si>
  <si>
    <t>Date on market</t>
  </si>
  <si>
    <t>6/17/2026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</si>
  <si>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</si>
  <si>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</si>
  <si>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</si>
  <si>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</si>
  <si>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</si>
  <si>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</si>
  <si>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</si>
  <si>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</si>
  <si>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</si>
  <si>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</si>
  <si>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</si>
  <si>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</si>
  <si>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</si>
  <si>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</si>
  <si>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</si>
  <si>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LoopNet published avg rent by unit type</t>
  </si>
  <si>
    <t>3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</si>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</sst>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B6A6E6D-7605-45C6-A01E-4B2E7DA9577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015-2021-Chariton-St-Los-Angeles-CA/4096036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21DE-BA93-4D29-9CA5-F7CF5C8E3881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C3CA-B753-4422-A06F-0F35911E8E50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12</v>
      </c>
    </row>
    <row r="8" spans="1:3" x14ac:dyDescent="0.25">
      <c r="A8" t="s">
        <v>54</v>
      </c>
      <c r="B8" s="15">
        <v>12680</v>
      </c>
    </row>
    <row r="9" spans="1:3" x14ac:dyDescent="0.25">
      <c r="A9" t="s">
        <v>55</v>
      </c>
      <c r="B9" s="15">
        <v>12632</v>
      </c>
    </row>
    <row r="10" spans="1:3" x14ac:dyDescent="0.25">
      <c r="A10" t="s">
        <v>56</v>
      </c>
      <c r="B10" s="16">
        <v>0.28999999999999998</v>
      </c>
    </row>
    <row r="11" spans="1:3" x14ac:dyDescent="0.25">
      <c r="A11" t="s">
        <v>57</v>
      </c>
      <c r="B11">
        <v>1961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2842089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3375000</v>
      </c>
    </row>
    <row r="23" spans="1:6" x14ac:dyDescent="0.25">
      <c r="A23" t="s">
        <v>75</v>
      </c>
      <c r="B23" s="8">
        <f>IFERROR(B22/B7,"")</f>
        <v>281250</v>
      </c>
    </row>
    <row r="24" spans="1:6" x14ac:dyDescent="0.25">
      <c r="A24" t="s">
        <v>76</v>
      </c>
      <c r="B24" s="17">
        <f>IFERROR(B22/B8,"")</f>
        <v>266.16719242902207</v>
      </c>
    </row>
    <row r="25" spans="1:6" x14ac:dyDescent="0.25">
      <c r="A25" t="s">
        <v>77</v>
      </c>
      <c r="B25" s="18">
        <v>5.8000000000000003E-2</v>
      </c>
    </row>
    <row r="26" spans="1:6" x14ac:dyDescent="0.25">
      <c r="A26" t="s">
        <v>78</v>
      </c>
      <c r="B26" s="19">
        <v>10.29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34</v>
      </c>
      <c r="B30" s="15">
        <v>2</v>
      </c>
      <c r="C30" s="4">
        <v>1523</v>
      </c>
      <c r="D30" s="8">
        <f>B30*C30</f>
        <v>3046</v>
      </c>
      <c r="E30" s="8">
        <f>D30*12</f>
        <v>36552</v>
      </c>
      <c r="F30" s="2" t="s">
        <v>86</v>
      </c>
    </row>
    <row r="31" spans="1:6" x14ac:dyDescent="0.25">
      <c r="A31" t="s">
        <v>87</v>
      </c>
      <c r="B31" s="15">
        <v>10</v>
      </c>
      <c r="C31" s="4">
        <v>2276</v>
      </c>
      <c r="D31" s="8">
        <f>B31*C31</f>
        <v>22760</v>
      </c>
      <c r="E31" s="8">
        <f>D31*12</f>
        <v>273120</v>
      </c>
      <c r="F31" s="2" t="s">
        <v>86</v>
      </c>
    </row>
    <row r="32" spans="1:6" x14ac:dyDescent="0.25">
      <c r="A32" s="21" t="s">
        <v>88</v>
      </c>
      <c r="B32" s="22">
        <f>SUM(B30:B31)</f>
        <v>12</v>
      </c>
      <c r="C32" s="23">
        <f>IFERROR(D32/B32,"")</f>
        <v>2150.5</v>
      </c>
      <c r="D32" s="23">
        <f>SUM(D30:D31)</f>
        <v>25806</v>
      </c>
      <c r="E32" s="23">
        <f>SUM(E30:E31)</f>
        <v>309672</v>
      </c>
    </row>
    <row r="34" spans="1:6" x14ac:dyDescent="0.25">
      <c r="A34" s="13" t="s">
        <v>89</v>
      </c>
      <c r="B34" s="14"/>
      <c r="C34" s="14"/>
      <c r="D34" s="14"/>
      <c r="E34" s="14"/>
      <c r="F34" s="14"/>
    </row>
    <row r="35" spans="1:6" x14ac:dyDescent="0.25">
      <c r="A35" s="24"/>
      <c r="B35" s="24" t="s">
        <v>90</v>
      </c>
      <c r="C35" s="24" t="s">
        <v>91</v>
      </c>
      <c r="D35" s="24"/>
      <c r="E35" s="24"/>
      <c r="F35" s="24" t="s">
        <v>92</v>
      </c>
    </row>
    <row r="36" spans="1:6" x14ac:dyDescent="0.25">
      <c r="A36" t="s">
        <v>93</v>
      </c>
      <c r="B36" s="8">
        <v>327988.33819241979</v>
      </c>
      <c r="C36" s="8">
        <f>E32</f>
        <v>309672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1" t="s">
        <v>96</v>
      </c>
      <c r="B38" s="8">
        <f>B36+B37</f>
        <v>327988.33819241979</v>
      </c>
      <c r="C38" s="8">
        <f>C36+C37</f>
        <v>309672</v>
      </c>
    </row>
    <row r="39" spans="1:6" x14ac:dyDescent="0.25">
      <c r="A39" t="s">
        <v>97</v>
      </c>
      <c r="B39" s="8">
        <f>-B36*0.03</f>
        <v>-9839.6501457725935</v>
      </c>
      <c r="C39" s="8">
        <f>-C36*Assumptions!$B$3</f>
        <v>-9290.16</v>
      </c>
      <c r="F39" s="2" t="s">
        <v>98</v>
      </c>
    </row>
    <row r="40" spans="1:6" x14ac:dyDescent="0.25">
      <c r="A40" s="21" t="s">
        <v>99</v>
      </c>
      <c r="B40" s="23">
        <f>B38+B39</f>
        <v>318148.68804664718</v>
      </c>
      <c r="C40" s="23">
        <f>C38+C39</f>
        <v>300381.84000000003</v>
      </c>
    </row>
    <row r="42" spans="1:6" x14ac:dyDescent="0.25">
      <c r="A42" s="13" t="s">
        <v>100</v>
      </c>
      <c r="B42" s="14"/>
      <c r="C42" s="14"/>
      <c r="D42" s="14"/>
      <c r="E42" s="14"/>
      <c r="F42" s="14"/>
    </row>
    <row r="43" spans="1:6" x14ac:dyDescent="0.25">
      <c r="A43" s="24" t="s">
        <v>101</v>
      </c>
      <c r="B43" s="24" t="s">
        <v>90</v>
      </c>
      <c r="C43" s="24" t="s">
        <v>102</v>
      </c>
      <c r="D43" s="24" t="s">
        <v>91</v>
      </c>
      <c r="E43" s="24" t="s">
        <v>103</v>
      </c>
      <c r="F43" s="24" t="s">
        <v>92</v>
      </c>
    </row>
    <row r="44" spans="1:6" x14ac:dyDescent="0.25">
      <c r="A44" t="s">
        <v>104</v>
      </c>
      <c r="B44" s="8"/>
      <c r="C44" s="8">
        <f>B22*Assumptions!$B$15</f>
        <v>42187.5</v>
      </c>
      <c r="D44" s="25">
        <f>C44</f>
        <v>42187.5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15080</v>
      </c>
      <c r="D45" s="25">
        <f t="shared" ref="D45:D51" si="1">IF(ISNUMBER(B45),MAX(B45,C45),C45)</f>
        <v>15080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15019.092000000002</v>
      </c>
      <c r="D46" s="25">
        <f t="shared" si="1"/>
        <v>15019.092000000002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14400</v>
      </c>
      <c r="D47" s="25">
        <f t="shared" si="1"/>
        <v>14400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B7*Assumptions!$B$9</f>
        <v>18000</v>
      </c>
      <c r="D48" s="25">
        <f t="shared" si="1"/>
        <v>18000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4800</v>
      </c>
      <c r="D49" s="25">
        <f t="shared" si="1"/>
        <v>4800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3000</v>
      </c>
      <c r="D50" s="25">
        <f t="shared" si="1"/>
        <v>3000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3600</v>
      </c>
      <c r="D51" s="25">
        <f t="shared" si="1"/>
        <v>3600</v>
      </c>
      <c r="E51" s="8" t="str">
        <f t="shared" si="0"/>
        <v/>
      </c>
      <c r="F51" s="2" t="s">
        <v>115</v>
      </c>
    </row>
    <row r="52" spans="1:6" x14ac:dyDescent="0.25">
      <c r="A52" s="21" t="s">
        <v>119</v>
      </c>
      <c r="B52" s="23">
        <f>B40-B22*B25</f>
        <v>122398.68804664718</v>
      </c>
      <c r="C52" s="23">
        <f>SUM(C44:C51)</f>
        <v>116086.592</v>
      </c>
      <c r="D52" s="23">
        <f>SUM(D44:D51)</f>
        <v>116086.592</v>
      </c>
      <c r="E52" s="23">
        <f t="shared" si="0"/>
        <v>-6312.0960466471734</v>
      </c>
      <c r="F52" s="2" t="s">
        <v>120</v>
      </c>
    </row>
    <row r="53" spans="1:6" x14ac:dyDescent="0.25">
      <c r="A53" t="s">
        <v>121</v>
      </c>
      <c r="B53" s="8">
        <f>IFERROR(B52/B7,"")</f>
        <v>10199.890670553932</v>
      </c>
      <c r="C53" s="8">
        <f>IFERROR(C52/B7,"")</f>
        <v>9673.8826666666664</v>
      </c>
      <c r="D53" s="8">
        <f>IFERROR(D52/B7,"")</f>
        <v>9673.8826666666664</v>
      </c>
    </row>
    <row r="54" spans="1:6" x14ac:dyDescent="0.25">
      <c r="A54" t="s">
        <v>122</v>
      </c>
      <c r="B54" s="18">
        <f>IFERROR(B52/B40,"")</f>
        <v>0.38472164948453597</v>
      </c>
      <c r="C54" s="18">
        <f>IFERROR(C52/C40,"")</f>
        <v>0.38646341603074275</v>
      </c>
      <c r="D54" s="18">
        <f>IF(C36&gt;0,IFERROR(D52/C40,""),"")</f>
        <v>0.38646341603074275</v>
      </c>
    </row>
    <row r="55" spans="1:6" x14ac:dyDescent="0.25">
      <c r="A55" s="21" t="s">
        <v>123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124</v>
      </c>
      <c r="B57" s="14"/>
      <c r="C57" s="14"/>
      <c r="D57" s="14"/>
      <c r="E57" s="14"/>
      <c r="F57" s="14"/>
    </row>
    <row r="58" spans="1:6" x14ac:dyDescent="0.25">
      <c r="A58" s="24"/>
      <c r="B58" s="24" t="s">
        <v>90</v>
      </c>
      <c r="C58" s="24" t="s">
        <v>91</v>
      </c>
      <c r="D58" s="24"/>
      <c r="E58" s="24"/>
      <c r="F58" s="24" t="s">
        <v>92</v>
      </c>
    </row>
    <row r="59" spans="1:6" x14ac:dyDescent="0.25">
      <c r="A59" s="21" t="s">
        <v>125</v>
      </c>
      <c r="B59" s="23">
        <f>B40-B52</f>
        <v>195750</v>
      </c>
      <c r="C59" s="23">
        <f>IF(C36&gt;0,C40-D52,"")</f>
        <v>184295.24800000002</v>
      </c>
    </row>
    <row r="60" spans="1:6" x14ac:dyDescent="0.25">
      <c r="A60" s="21" t="s">
        <v>126</v>
      </c>
      <c r="B60" s="18">
        <f>IFERROR(B59/B22,"")</f>
        <v>5.8000000000000003E-2</v>
      </c>
      <c r="C60" s="18">
        <f>IF(C59="","",IFERROR(C59/B22,""))</f>
        <v>5.4605999407407416E-2</v>
      </c>
      <c r="F60" s="2" t="s">
        <v>127</v>
      </c>
    </row>
    <row r="61" spans="1:6" x14ac:dyDescent="0.25">
      <c r="A61" t="s">
        <v>128</v>
      </c>
      <c r="B61" s="19">
        <f>IFERROR(B22/B36,"")</f>
        <v>10.290000000000001</v>
      </c>
      <c r="C61" s="19">
        <f>IF(C36&gt;0,IFERROR(B22/C36,""),"")</f>
        <v>10.898628225993955</v>
      </c>
    </row>
    <row r="62" spans="1:6" x14ac:dyDescent="0.25">
      <c r="A62" t="s">
        <v>129</v>
      </c>
      <c r="B62" s="8">
        <f>IFERROR(B59/B7,"")</f>
        <v>16312.5</v>
      </c>
      <c r="C62" s="8">
        <f>IF(C59="","",IFERROR(C59/B7,""))</f>
        <v>15357.937333333335</v>
      </c>
    </row>
    <row r="64" spans="1:6" x14ac:dyDescent="0.25">
      <c r="A64" s="13" t="s">
        <v>130</v>
      </c>
      <c r="B64" s="14"/>
      <c r="C64" s="14"/>
      <c r="D64" s="14"/>
      <c r="E64" s="14"/>
      <c r="F64" s="14"/>
    </row>
    <row r="65" spans="1:2" x14ac:dyDescent="0.25">
      <c r="A65" t="s">
        <v>131</v>
      </c>
      <c r="B65" s="8">
        <f>IFERROR(B22*Assumptions!$B$20,"")</f>
        <v>2025000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1995453.4091557269</v>
      </c>
    </row>
    <row r="67" spans="1:2" x14ac:dyDescent="0.25">
      <c r="A67" s="21" t="s">
        <v>133</v>
      </c>
      <c r="B67" s="8">
        <f>IFERROR(MIN(B65,B66),"")</f>
        <v>1995453.4091557269</v>
      </c>
    </row>
    <row r="68" spans="1:2" x14ac:dyDescent="0.25">
      <c r="A68" t="s">
        <v>134</v>
      </c>
      <c r="B68" s="8">
        <f>IFERROR(B22-B67,"")</f>
        <v>1379546.5908442731</v>
      </c>
    </row>
    <row r="69" spans="1:2" x14ac:dyDescent="0.25">
      <c r="A69" t="s">
        <v>135</v>
      </c>
      <c r="B69" s="8">
        <f>IFERROR(-PMT(Assumptions!$B$22/12,Assumptions!$B$23*12,B67)*12,"")</f>
        <v>147436.19839999956</v>
      </c>
    </row>
    <row r="70" spans="1:2" x14ac:dyDescent="0.25">
      <c r="A70" t="s">
        <v>136</v>
      </c>
      <c r="B70" s="19">
        <f>IFERROR(C59/B69,"")</f>
        <v>1.250000000000004</v>
      </c>
    </row>
    <row r="71" spans="1:2" x14ac:dyDescent="0.25">
      <c r="A71" t="s">
        <v>137</v>
      </c>
      <c r="B71" s="8">
        <f>IFERROR(C59-B69,"")</f>
        <v>36859.049600000464</v>
      </c>
    </row>
    <row r="72" spans="1:2" x14ac:dyDescent="0.25">
      <c r="A72" t="s">
        <v>138</v>
      </c>
      <c r="B72" s="18">
        <f>IFERROR(B71/B68,"")</f>
        <v>2.6718234704521997E-2</v>
      </c>
    </row>
    <row r="74" spans="1:2" x14ac:dyDescent="0.25">
      <c r="A74" s="2" t="s">
        <v>139</v>
      </c>
    </row>
  </sheetData>
  <hyperlinks>
    <hyperlink ref="A3" r:id="rId1" xr:uid="{F97678F4-BCB2-44A1-B5F0-6C0A1E38E2FE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07 2015-2021 Chariton St</vt:lpstr>
      <vt:lpstr>'07 2015-2021 Chariton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2026-09-17T19:25:00Z</dcterms:created>
  <dcterms:modified xsi:type="dcterms:W3CDTF">2026-09-17T19:25:04Z</dcterms:modified>
</cp:coreProperties>
</file>