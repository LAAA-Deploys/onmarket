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1FAF5D0E-C7A6-471C-8B53-30E0CBB36CF8}" xr6:coauthVersionLast="47" xr6:coauthVersionMax="47" xr10:uidLastSave="{00000000-0000-0000-0000-000000000000}"/>
  <bookViews>
    <workbookView xWindow="-120" yWindow="-120" windowWidth="29040" windowHeight="15720" activeTab="1" xr2:uid="{1622A306-E6D2-460F-B67C-2BDCE0E31DC0}"/>
  </bookViews>
  <sheets>
    <sheet name="Assumptions" sheetId="1" r:id="rId1"/>
    <sheet name="15 1400 Venice Blvd" sheetId="2" r:id="rId2"/>
  </sheets>
  <definedNames>
    <definedName name="_xlnm.Print_Area" localSheetId="1">'15 1400 Venice Blvd'!$A$1:$N$80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D51" i="2"/>
  <c r="C51" i="2"/>
  <c r="E50" i="2"/>
  <c r="C50" i="2"/>
  <c r="D50" i="2" s="1"/>
  <c r="E49" i="2"/>
  <c r="C49" i="2"/>
  <c r="D49" i="2" s="1"/>
  <c r="E48" i="2"/>
  <c r="D48" i="2"/>
  <c r="C48" i="2"/>
  <c r="E47" i="2"/>
  <c r="D47" i="2"/>
  <c r="C47" i="2"/>
  <c r="E46" i="2"/>
  <c r="E45" i="2"/>
  <c r="C45" i="2"/>
  <c r="D45" i="2" s="1"/>
  <c r="E44" i="2"/>
  <c r="D44" i="2"/>
  <c r="C44" i="2"/>
  <c r="B40" i="2"/>
  <c r="B39" i="2"/>
  <c r="B38" i="2"/>
  <c r="D32" i="2"/>
  <c r="C32" i="2" s="1"/>
  <c r="B32" i="2"/>
  <c r="D31" i="2"/>
  <c r="E31" i="2" s="1"/>
  <c r="E30" i="2"/>
  <c r="E32" i="2" s="1"/>
  <c r="C36" i="2" s="1"/>
  <c r="D30" i="2"/>
  <c r="B24" i="2"/>
  <c r="B23" i="2"/>
  <c r="C39" i="2" l="1"/>
  <c r="C38" i="2"/>
  <c r="C40" i="2" s="1"/>
  <c r="C46" i="2" s="1"/>
  <c r="D46" i="2" s="1"/>
  <c r="D52" i="2" s="1"/>
  <c r="C61" i="2"/>
  <c r="B52" i="2"/>
  <c r="D53" i="2" l="1"/>
  <c r="D54" i="2"/>
  <c r="B55" i="2"/>
  <c r="B54" i="2"/>
  <c r="B53" i="2"/>
  <c r="E52" i="2"/>
  <c r="C59" i="2"/>
  <c r="B59" i="2"/>
  <c r="C52" i="2"/>
  <c r="C60" i="2" l="1"/>
  <c r="B66" i="2"/>
  <c r="B67" i="2" s="1"/>
  <c r="C62" i="2"/>
  <c r="B60" i="2"/>
  <c r="B62" i="2"/>
  <c r="C54" i="2"/>
  <c r="C53" i="2"/>
  <c r="B68" i="2" l="1"/>
  <c r="B69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<sst xmlns="http://schemas.openxmlformats.org/spreadsheetml/2006/main" count="149" uniqueCount="141">
  <si>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</si>
  <si>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</si>
  <si>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</si>
  <si>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</si>
  <si>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</si>
  <si>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</si>
  <si>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</si>
  <si>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</si>
  <si>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</si>
  <si>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</si>
  <si>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</si>
  <si>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</si>
  <si>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</si>
  <si>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</si>
  <si>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</si>
  <si>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</si>
  <si>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</si>
  <si>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</si>
  <si>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</si>
  <si>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</si>
  <si>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</si>
  <si>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</si>
  <si>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</si>
  <si>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</si>
  <si>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</si>
  <si>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</si>
  <si>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</si>
  <si>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</si>
  <si>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</si>
  <si>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</si>
  <si>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</si>
  <si>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</si>
  <si>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</si>
  <si>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</si>
  <si>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</si>
  <si>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</si>
  <si>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</si>
  <si>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</si>
  <si>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</si>
  <si>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</si>
  <si>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</si>
  <si>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</si>
  <si>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</si>
  <si>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</si>
  <si>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</si>
  <si>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</si>
  <si>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</si>
  <si>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1400 Venice Blvd</t>
  </si>
  <si>
    <t>Venice, CA 90291  |  Venice</t>
  </si>
  <si>
    <t>LoopNet listing</t>
  </si>
  <si>
    <t>Data pulled 9/17/2026 from LoopNet public listing</t>
  </si>
  <si>
    <t>NOTE: 1988 build (non-RSO)</t>
  </si>
  <si>
    <t>PROPERTY</t>
  </si>
  <si>
    <t>Units</t>
  </si>
  <si>
    <t>Gross building SF</t>
  </si>
  <si>
    <t>Lot SF</t>
  </si>
  <si>
    <t>Lot acres</t>
  </si>
  <si>
    <t>Year built</t>
  </si>
  <si>
    <t>Stories</t>
  </si>
  <si>
    <t>4</t>
  </si>
  <si>
    <t>Zoning</t>
  </si>
  <si>
    <t>R4-1, Los Angeles</t>
  </si>
  <si>
    <t>Occupancy per listing</t>
  </si>
  <si>
    <t>94%</t>
  </si>
  <si>
    <t>APN</t>
  </si>
  <si>
    <t>4236-006-026</t>
  </si>
  <si>
    <t>Assessed value (current)</t>
  </si>
  <si>
    <t>Listing broker(s)</t>
  </si>
  <si>
    <t>Kitty Wallace</t>
  </si>
  <si>
    <t>Date on market</t>
  </si>
  <si>
    <t>6/10/2026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</si>
  <si>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</si>
  <si>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</si>
  <si>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</si>
  <si>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</si>
  <si>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</si>
  <si>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</si>
  <si>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</si>
  <si>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</si>
  <si>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</si>
  <si>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</si>
  <si>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</si>
  <si>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</si>
  <si>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</si>
  <si>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</si>
  <si>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</si>
  <si>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(~700 SF)</t>
  </si>
  <si>
    <t>Allocated from published GRM (price / GRM) using LAAA bed weights</t>
  </si>
  <si>
    <t>2 Bd / 2 Ba  (~900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</si>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</sst>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5BD3D9-3D3E-4A10-9811-AB5F72A758E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400-Venice-Blvd-Venice-CA/4087165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B2FB-45F6-4656-905E-C3A71C251347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570E-6A02-4157-8805-BED1D7B9E0B9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31</v>
      </c>
    </row>
    <row r="8" spans="1:3" x14ac:dyDescent="0.25">
      <c r="A8" t="s">
        <v>54</v>
      </c>
      <c r="B8" s="15">
        <v>24605</v>
      </c>
    </row>
    <row r="9" spans="1:3" x14ac:dyDescent="0.25">
      <c r="A9" t="s">
        <v>55</v>
      </c>
      <c r="B9" s="15">
        <v>11761</v>
      </c>
    </row>
    <row r="10" spans="1:3" x14ac:dyDescent="0.25">
      <c r="A10" t="s">
        <v>56</v>
      </c>
      <c r="B10" s="16">
        <v>0.27</v>
      </c>
    </row>
    <row r="11" spans="1:3" x14ac:dyDescent="0.25">
      <c r="A11" t="s">
        <v>57</v>
      </c>
      <c r="B11">
        <v>1988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10377990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12950000</v>
      </c>
    </row>
    <row r="23" spans="1:6" x14ac:dyDescent="0.25">
      <c r="A23" t="s">
        <v>75</v>
      </c>
      <c r="B23" s="8">
        <f>IFERROR(B22/B7,"")</f>
        <v>417741.93548387097</v>
      </c>
    </row>
    <row r="24" spans="1:6" x14ac:dyDescent="0.25">
      <c r="A24" t="s">
        <v>76</v>
      </c>
      <c r="B24" s="17">
        <f>IFERROR(B22/B8,"")</f>
        <v>526.31578947368416</v>
      </c>
    </row>
    <row r="25" spans="1:6" x14ac:dyDescent="0.25">
      <c r="A25" t="s">
        <v>77</v>
      </c>
      <c r="B25" s="18">
        <v>5.2999999999999999E-2</v>
      </c>
    </row>
    <row r="26" spans="1:6" x14ac:dyDescent="0.25">
      <c r="A26" t="s">
        <v>78</v>
      </c>
      <c r="B26" s="19">
        <v>11.65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2</v>
      </c>
      <c r="C30" s="21">
        <v>2251</v>
      </c>
      <c r="D30" s="8">
        <f>B30*C30</f>
        <v>4502</v>
      </c>
      <c r="E30" s="8">
        <f>D30*12</f>
        <v>54024</v>
      </c>
      <c r="F30" s="2" t="s">
        <v>87</v>
      </c>
    </row>
    <row r="31" spans="1:6" x14ac:dyDescent="0.25">
      <c r="A31" t="s">
        <v>88</v>
      </c>
      <c r="B31" s="15">
        <v>29</v>
      </c>
      <c r="C31" s="21">
        <v>3039</v>
      </c>
      <c r="D31" s="8">
        <f>B31*C31</f>
        <v>88131</v>
      </c>
      <c r="E31" s="8">
        <f>D31*12</f>
        <v>1057572</v>
      </c>
      <c r="F31" s="2" t="s">
        <v>87</v>
      </c>
    </row>
    <row r="32" spans="1:6" x14ac:dyDescent="0.25">
      <c r="A32" s="22" t="s">
        <v>89</v>
      </c>
      <c r="B32" s="23">
        <f>SUM(B30:B31)</f>
        <v>31</v>
      </c>
      <c r="C32" s="24">
        <f>IFERROR(D32/B32,"")</f>
        <v>2988.1612903225805</v>
      </c>
      <c r="D32" s="24">
        <f>SUM(D30:D31)</f>
        <v>92633</v>
      </c>
      <c r="E32" s="24">
        <f>SUM(E30:E31)</f>
        <v>1111596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>
        <v>1111587.9828326181</v>
      </c>
      <c r="C36" s="8">
        <f>E32</f>
        <v>1111596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1111587.9828326181</v>
      </c>
      <c r="C38" s="8">
        <f>C36+C37</f>
        <v>1111596</v>
      </c>
    </row>
    <row r="39" spans="1:6" x14ac:dyDescent="0.25">
      <c r="A39" t="s">
        <v>98</v>
      </c>
      <c r="B39" s="8">
        <f>-B36*0.03</f>
        <v>-33347.639484978543</v>
      </c>
      <c r="C39" s="8">
        <f>-C36*Assumptions!$B$3</f>
        <v>-33347.879999999997</v>
      </c>
      <c r="F39" s="2" t="s">
        <v>99</v>
      </c>
    </row>
    <row r="40" spans="1:6" x14ac:dyDescent="0.25">
      <c r="A40" s="22" t="s">
        <v>100</v>
      </c>
      <c r="B40" s="24">
        <f>B38+B39</f>
        <v>1078240.3433476395</v>
      </c>
      <c r="C40" s="24">
        <f>C38+C39</f>
        <v>1078248.1200000001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161875</v>
      </c>
      <c r="D44" s="26">
        <f>C44</f>
        <v>161875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30805</v>
      </c>
      <c r="D45" s="26">
        <f t="shared" ref="D45:D51" si="1">IF(ISNUMBER(B45),MAX(B45,C45),C45)</f>
        <v>30805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53912.40600000001</v>
      </c>
      <c r="D46" s="26">
        <f t="shared" si="1"/>
        <v>53912.40600000001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37200</v>
      </c>
      <c r="D47" s="26">
        <f t="shared" si="1"/>
        <v>37200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46500</v>
      </c>
      <c r="D48" s="26">
        <f t="shared" si="1"/>
        <v>46500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12400</v>
      </c>
      <c r="D49" s="26">
        <f t="shared" si="1"/>
        <v>12400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7750</v>
      </c>
      <c r="D50" s="26">
        <f t="shared" si="1"/>
        <v>7750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9300</v>
      </c>
      <c r="D51" s="26">
        <f t="shared" si="1"/>
        <v>9300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4">
        <f>B40-B22*B25</f>
        <v>391890.34334763954</v>
      </c>
      <c r="C52" s="24">
        <f>SUM(C44:C51)</f>
        <v>359742.40600000002</v>
      </c>
      <c r="D52" s="24">
        <f>SUM(D44:D51)</f>
        <v>359742.40600000002</v>
      </c>
      <c r="E52" s="24">
        <f t="shared" si="0"/>
        <v>-32147.937347639527</v>
      </c>
      <c r="F52" s="2" t="s">
        <v>121</v>
      </c>
    </row>
    <row r="53" spans="1:6" x14ac:dyDescent="0.25">
      <c r="A53" t="s">
        <v>122</v>
      </c>
      <c r="B53" s="8">
        <f>IFERROR(B52/B7,"")</f>
        <v>12641.623978956115</v>
      </c>
      <c r="C53" s="8">
        <f>IFERROR(C52/B7,"")</f>
        <v>11604.593741935485</v>
      </c>
      <c r="D53" s="8">
        <f>IFERROR(D52/B7,"")</f>
        <v>11604.593741935485</v>
      </c>
    </row>
    <row r="54" spans="1:6" x14ac:dyDescent="0.25">
      <c r="A54" t="s">
        <v>123</v>
      </c>
      <c r="B54" s="18">
        <f>IFERROR(B52/B40,"")</f>
        <v>0.36345360824742273</v>
      </c>
      <c r="C54" s="18">
        <f>IFERROR(C52/C40,"")</f>
        <v>0.33363601505746188</v>
      </c>
      <c r="D54" s="18">
        <f>IF(C36&gt;0,IFERROR(D52/C40,""),"")</f>
        <v>0.33363601505746188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4">
        <f>B40-B52</f>
        <v>686350</v>
      </c>
      <c r="C59" s="24">
        <f>IF(C36&gt;0,C40-D52,"")</f>
        <v>718505.71400000015</v>
      </c>
    </row>
    <row r="60" spans="1:6" x14ac:dyDescent="0.25">
      <c r="A60" s="22" t="s">
        <v>127</v>
      </c>
      <c r="B60" s="18">
        <f>IFERROR(B59/B22,"")</f>
        <v>5.2999999999999999E-2</v>
      </c>
      <c r="C60" s="18">
        <f>IF(C59="","",IFERROR(C59/B22,""))</f>
        <v>5.5483066718146727E-2</v>
      </c>
      <c r="F60" s="2" t="s">
        <v>128</v>
      </c>
    </row>
    <row r="61" spans="1:6" x14ac:dyDescent="0.25">
      <c r="A61" t="s">
        <v>129</v>
      </c>
      <c r="B61" s="19">
        <f>IFERROR(B22/B36,"")</f>
        <v>11.65</v>
      </c>
      <c r="C61" s="19">
        <f>IF(C36&gt;0,IFERROR(B22/C36,""),"")</f>
        <v>11.649915976667781</v>
      </c>
    </row>
    <row r="62" spans="1:6" x14ac:dyDescent="0.25">
      <c r="A62" t="s">
        <v>130</v>
      </c>
      <c r="B62" s="8">
        <f>IFERROR(B59/B7,"")</f>
        <v>22140.322580645163</v>
      </c>
      <c r="C62" s="8">
        <f>IF(C59="","",IFERROR(C59/B7,""))</f>
        <v>23177.60367741936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7770000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7779607.4074529028</v>
      </c>
    </row>
    <row r="67" spans="1:2" x14ac:dyDescent="0.25">
      <c r="A67" s="22" t="s">
        <v>134</v>
      </c>
      <c r="B67" s="8">
        <f>IFERROR(MIN(B65,B66),"")</f>
        <v>7770000</v>
      </c>
    </row>
    <row r="68" spans="1:2" x14ac:dyDescent="0.25">
      <c r="A68" t="s">
        <v>135</v>
      </c>
      <c r="B68" s="8">
        <f>IFERROR(B22-B67,"")</f>
        <v>5180000</v>
      </c>
    </row>
    <row r="69" spans="1:2" x14ac:dyDescent="0.25">
      <c r="A69" t="s">
        <v>136</v>
      </c>
      <c r="B69" s="8">
        <f>IFERROR(-PMT(Assumptions!$B$22/12,Assumptions!$B$23*12,B67)*12,"")</f>
        <v>574094.71767756739</v>
      </c>
    </row>
    <row r="70" spans="1:2" x14ac:dyDescent="0.25">
      <c r="A70" t="s">
        <v>137</v>
      </c>
      <c r="B70" s="19">
        <f>IFERROR(C59/B69,"")</f>
        <v>1.2515455932195831</v>
      </c>
    </row>
    <row r="71" spans="1:2" x14ac:dyDescent="0.25">
      <c r="A71" t="s">
        <v>138</v>
      </c>
      <c r="B71" s="8">
        <f>IFERROR(C59-B69,"")</f>
        <v>144410.99632243277</v>
      </c>
    </row>
    <row r="72" spans="1:2" x14ac:dyDescent="0.25">
      <c r="A72" t="s">
        <v>139</v>
      </c>
      <c r="B72" s="18">
        <f>IFERROR(B71/B68,"")</f>
        <v>2.7878570718616363E-2</v>
      </c>
    </row>
    <row r="74" spans="1:2" x14ac:dyDescent="0.25">
      <c r="A74" s="2" t="s">
        <v>140</v>
      </c>
    </row>
  </sheetData>
  <hyperlinks>
    <hyperlink ref="A3" r:id="rId1" xr:uid="{DB9A13F8-715A-4FA7-AF46-C32F8C2B1BD5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15 1400 Venice Blvd</vt:lpstr>
      <vt:lpstr>'15 1400 Venice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2026-09-17T18:56:26Z</dcterms:created>
  <dcterms:modified xsi:type="dcterms:W3CDTF">2026-09-17T18:56:28Z</dcterms:modified>
</cp:coreProperties>
</file>