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6EDEE42-66A4-4FF7-8132-46143FEFEE7C}" xr6:coauthVersionLast="47" xr6:coauthVersionMax="47" xr10:uidLastSave="{00000000-0000-0000-0000-000000000000}"/>
  <bookViews>
    <workbookView xWindow="-120" yWindow="-120" windowWidth="29040" windowHeight="15720" activeTab="1" xr2:uid="{3F178E0A-2317-4F9A-8259-BBF16D6FC8B6}"/>
  </bookViews>
  <sheets>
    <sheet name="Assumptions" sheetId="1" r:id="rId1"/>
    <sheet name="07 2626 Cloverfield Blvd" sheetId="2" r:id="rId2"/>
  </sheets>
  <definedNames>
    <definedName name="_xlnm.Print_Area" localSheetId="1">'07 2626 Cloverfield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 s="1"/>
  <c r="E32" i="2"/>
  <c r="C36" i="2" s="1"/>
  <c r="B60" i="2" l="1"/>
  <c r="B62" i="2"/>
  <c r="B53" i="2"/>
  <c r="B54" i="2"/>
  <c r="C61" i="2"/>
  <c r="C39" i="2"/>
  <c r="C38" i="2"/>
  <c r="C40" i="2" s="1"/>
  <c r="C46" i="2" s="1"/>
  <c r="D46" i="2" l="1"/>
  <c r="D52" i="2" s="1"/>
  <c r="C52" i="2"/>
  <c r="C59" i="2"/>
  <c r="C60" i="2" l="1"/>
  <c r="B66" i="2"/>
  <c r="B67" i="2" s="1"/>
  <c r="C62" i="2"/>
  <c r="C53" i="2"/>
  <c r="C54" i="2"/>
  <c r="D53" i="2"/>
  <c r="E52" i="2"/>
  <c r="B55" i="2"/>
  <c r="D54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<sst xmlns="http://schemas.openxmlformats.org/spreadsheetml/2006/main" count="147" uniqueCount="139">
  <si>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</si>
  <si>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</si>
  <si>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</si>
  <si>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</si>
  <si>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</si>
  <si>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</si>
  <si>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</si>
  <si>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</si>
  <si>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</si>
  <si>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</si>
  <si>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</si>
  <si>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</si>
  <si>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</si>
  <si>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</si>
  <si>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</si>
  <si>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</si>
  <si>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</si>
  <si>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</si>
  <si>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</si>
  <si>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</si>
  <si>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</si>
  <si>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</si>
  <si>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</si>
  <si>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</si>
  <si>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</si>
  <si>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</si>
  <si>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</si>
  <si>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</si>
  <si>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</si>
  <si>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</si>
  <si>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</si>
  <si>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</si>
  <si>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</si>
  <si>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</si>
  <si>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</si>
  <si>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</si>
  <si>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</si>
  <si>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</si>
  <si>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</si>
  <si>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</si>
  <si>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</si>
  <si>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</si>
  <si>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</si>
  <si>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</si>
  <si>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</si>
  <si>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</si>
  <si>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</si>
  <si>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2626 Cloverfield Blvd</t>
  </si>
  <si>
    <t>Santa Monica, CA 90405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</si>
  <si>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</si>
  <si>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</si>
  <si>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</si>
  <si>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</si>
  <si>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</si>
  <si>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</si>
  <si>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</si>
  <si>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</si>
  <si>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</si>
  <si>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</si>
  <si>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</si>
  <si>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SMR3* - residential</t>
  </si>
  <si>
    <t>Occupancy per listing</t>
  </si>
  <si>
    <t>APN</t>
  </si>
  <si>
    <t>4273-012-016</t>
  </si>
  <si>
    <t>Assessed value (current)</t>
  </si>
  <si>
    <t>Listing broker(s)</t>
  </si>
  <si>
    <t>Steve Bogoyevac, David O'Keefe</t>
  </si>
  <si>
    <t>Date on market</t>
  </si>
  <si>
    <t>4/8/2026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</si>
  <si>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</si>
  <si>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</si>
  <si>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</si>
  <si>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</si>
  <si>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</si>
  <si>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</si>
  <si>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</si>
  <si>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</si>
  <si>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</si>
  <si>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</si>
  <si>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</si>
  <si>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</si>
  <si>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</si>
  <si>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</si>
  <si>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</si>
  <si>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(~450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</si>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</sst>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FD92A69-3C3B-4166-BC67-2E0DF9664E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626-Cloverfield-Blvd-Santa-Monica-CA/400778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BDED-8BF0-426E-A054-824055FBA76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D2E2-5D42-4BB3-ADCC-E7858E487AD6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12</v>
      </c>
    </row>
    <row r="8" spans="1:3" x14ac:dyDescent="0.25">
      <c r="A8" t="s">
        <v>53</v>
      </c>
      <c r="B8" s="14">
        <v>7280</v>
      </c>
    </row>
    <row r="9" spans="1:3" x14ac:dyDescent="0.25">
      <c r="A9" t="s">
        <v>54</v>
      </c>
      <c r="B9" s="14">
        <v>6098</v>
      </c>
    </row>
    <row r="10" spans="1:3" x14ac:dyDescent="0.25">
      <c r="A10" t="s">
        <v>55</v>
      </c>
      <c r="B10" s="15">
        <v>0.14000000000000001</v>
      </c>
    </row>
    <row r="11" spans="1:3" x14ac:dyDescent="0.25">
      <c r="A11" t="s">
        <v>56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</row>
    <row r="15" spans="1:3" x14ac:dyDescent="0.25">
      <c r="A15" t="s">
        <v>62</v>
      </c>
      <c r="B15" t="s">
        <v>63</v>
      </c>
    </row>
    <row r="16" spans="1:3" x14ac:dyDescent="0.25">
      <c r="A16" t="s">
        <v>64</v>
      </c>
      <c r="B16" s="8">
        <v>4590000</v>
      </c>
    </row>
    <row r="17" spans="1:6" x14ac:dyDescent="0.25">
      <c r="A17" t="s">
        <v>65</v>
      </c>
      <c r="B17" t="s">
        <v>66</v>
      </c>
    </row>
    <row r="18" spans="1:6" x14ac:dyDescent="0.25">
      <c r="A18" t="s">
        <v>67</v>
      </c>
      <c r="B18" t="s">
        <v>68</v>
      </c>
    </row>
    <row r="19" spans="1:6" x14ac:dyDescent="0.25">
      <c r="A19" t="s">
        <v>69</v>
      </c>
      <c r="B19" t="s">
        <v>70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4750000</v>
      </c>
    </row>
    <row r="23" spans="1:6" x14ac:dyDescent="0.25">
      <c r="A23" t="s">
        <v>73</v>
      </c>
      <c r="B23" s="8">
        <f>IFERROR(B22/B7,"")</f>
        <v>395833.33333333331</v>
      </c>
    </row>
    <row r="24" spans="1:6" x14ac:dyDescent="0.25">
      <c r="A24" t="s">
        <v>74</v>
      </c>
      <c r="B24" s="16">
        <f>IFERROR(B22/B8,"")</f>
        <v>652.47252747252742</v>
      </c>
    </row>
    <row r="25" spans="1:6" x14ac:dyDescent="0.25">
      <c r="A25" t="s">
        <v>75</v>
      </c>
      <c r="B25" s="17">
        <v>5.5899999999999998E-2</v>
      </c>
    </row>
    <row r="26" spans="1:6" x14ac:dyDescent="0.25">
      <c r="A26" t="s">
        <v>76</v>
      </c>
      <c r="B26" s="18">
        <v>12.76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1</v>
      </c>
      <c r="C30" s="20">
        <v>1856</v>
      </c>
      <c r="D30" s="8">
        <f>B30*C30</f>
        <v>1856</v>
      </c>
      <c r="E30" s="8">
        <f>D30*12</f>
        <v>22272</v>
      </c>
      <c r="F30" s="2" t="s">
        <v>85</v>
      </c>
    </row>
    <row r="31" spans="1:6" x14ac:dyDescent="0.25">
      <c r="A31" t="s">
        <v>86</v>
      </c>
      <c r="B31" s="14">
        <v>11</v>
      </c>
      <c r="C31" s="20">
        <v>2651</v>
      </c>
      <c r="D31" s="8">
        <f>B31*C31</f>
        <v>29161</v>
      </c>
      <c r="E31" s="8">
        <f>D31*12</f>
        <v>349932</v>
      </c>
      <c r="F31" s="2" t="s">
        <v>85</v>
      </c>
    </row>
    <row r="32" spans="1:6" x14ac:dyDescent="0.25">
      <c r="A32" s="21" t="s">
        <v>87</v>
      </c>
      <c r="B32" s="22">
        <f>SUM(B30:B31)</f>
        <v>12</v>
      </c>
      <c r="C32" s="23">
        <f>IFERROR(D32/B32,"")</f>
        <v>2584.75</v>
      </c>
      <c r="D32" s="23">
        <f>SUM(D30:D31)</f>
        <v>31017</v>
      </c>
      <c r="E32" s="23">
        <f>SUM(E30:E31)</f>
        <v>372204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4"/>
      <c r="B35" s="24" t="s">
        <v>89</v>
      </c>
      <c r="C35" s="24" t="s">
        <v>90</v>
      </c>
      <c r="D35" s="24"/>
      <c r="E35" s="24"/>
      <c r="F35" s="24" t="s">
        <v>91</v>
      </c>
    </row>
    <row r="36" spans="1:6" x14ac:dyDescent="0.25">
      <c r="A36" t="s">
        <v>92</v>
      </c>
      <c r="B36" s="8">
        <v>372257.05329153611</v>
      </c>
      <c r="C36" s="8">
        <f>E32</f>
        <v>372204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1" t="s">
        <v>95</v>
      </c>
      <c r="B38" s="8">
        <f>B36+B37</f>
        <v>372257.05329153611</v>
      </c>
      <c r="C38" s="8">
        <f>C36+C37</f>
        <v>372204</v>
      </c>
    </row>
    <row r="39" spans="1:6" x14ac:dyDescent="0.25">
      <c r="A39" t="s">
        <v>96</v>
      </c>
      <c r="B39" s="8">
        <f>-B36*0.03</f>
        <v>-11167.711598746082</v>
      </c>
      <c r="C39" s="8">
        <f>-C36*Assumptions!$B$3</f>
        <v>-11166.119999999999</v>
      </c>
      <c r="F39" s="2" t="s">
        <v>97</v>
      </c>
    </row>
    <row r="40" spans="1:6" x14ac:dyDescent="0.25">
      <c r="A40" s="21" t="s">
        <v>98</v>
      </c>
      <c r="B40" s="23">
        <f>B38+B39</f>
        <v>361089.34169279004</v>
      </c>
      <c r="C40" s="23">
        <f>C38+C39</f>
        <v>361037.88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4" t="s">
        <v>100</v>
      </c>
      <c r="B43" s="24" t="s">
        <v>89</v>
      </c>
      <c r="C43" s="24" t="s">
        <v>101</v>
      </c>
      <c r="D43" s="24" t="s">
        <v>90</v>
      </c>
      <c r="E43" s="24" t="s">
        <v>102</v>
      </c>
      <c r="F43" s="24" t="s">
        <v>91</v>
      </c>
    </row>
    <row r="44" spans="1:6" x14ac:dyDescent="0.25">
      <c r="A44" t="s">
        <v>103</v>
      </c>
      <c r="B44" s="8"/>
      <c r="C44" s="8">
        <f>B22*Assumptions!$B$16</f>
        <v>54625</v>
      </c>
      <c r="D44" s="25">
        <f>C44</f>
        <v>54625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9680</v>
      </c>
      <c r="D45" s="25">
        <f t="shared" ref="D45:D51" si="1">IF(ISNUMBER(B45),MAX(B45,C45),C45)</f>
        <v>9680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18051.894</v>
      </c>
      <c r="D46" s="25">
        <f t="shared" si="1"/>
        <v>18051.894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B7*Assumptions!$B$10</f>
        <v>21600</v>
      </c>
      <c r="D48" s="25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114</v>
      </c>
    </row>
    <row r="52" spans="1:6" x14ac:dyDescent="0.25">
      <c r="A52" s="21" t="s">
        <v>118</v>
      </c>
      <c r="B52" s="23">
        <f>B40-B22*B25</f>
        <v>95564.34169279004</v>
      </c>
      <c r="C52" s="23">
        <f>SUM(C44:C51)</f>
        <v>129756.894</v>
      </c>
      <c r="D52" s="23">
        <f>SUM(D44:D51)</f>
        <v>129756.894</v>
      </c>
      <c r="E52" s="23">
        <f t="shared" si="0"/>
        <v>34192.55230720996</v>
      </c>
      <c r="F52" s="2" t="s">
        <v>119</v>
      </c>
    </row>
    <row r="53" spans="1:6" x14ac:dyDescent="0.25">
      <c r="A53" t="s">
        <v>120</v>
      </c>
      <c r="B53" s="8">
        <f>IFERROR(B52/B7,"")</f>
        <v>7963.6951410658367</v>
      </c>
      <c r="C53" s="8">
        <f>IFERROR(C52/B7,"")</f>
        <v>10813.074500000001</v>
      </c>
      <c r="D53" s="8">
        <f>IFERROR(D52/B7,"")</f>
        <v>10813.074500000001</v>
      </c>
    </row>
    <row r="54" spans="1:6" x14ac:dyDescent="0.25">
      <c r="A54" t="s">
        <v>121</v>
      </c>
      <c r="B54" s="17">
        <f>IFERROR(B52/B40,"")</f>
        <v>0.26465567010309293</v>
      </c>
      <c r="C54" s="17">
        <f>IFERROR(C52/C40,"")</f>
        <v>0.35939966742547902</v>
      </c>
      <c r="D54" s="17">
        <f>IF(C36&gt;0,IFERROR(D52/C40,""),"")</f>
        <v>0.35939966742547902</v>
      </c>
    </row>
    <row r="55" spans="1:6" x14ac:dyDescent="0.25">
      <c r="A55" s="21" t="s">
        <v>122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4"/>
      <c r="B58" s="24" t="s">
        <v>89</v>
      </c>
      <c r="C58" s="24" t="s">
        <v>90</v>
      </c>
      <c r="D58" s="24"/>
      <c r="E58" s="24"/>
      <c r="F58" s="24" t="s">
        <v>91</v>
      </c>
    </row>
    <row r="59" spans="1:6" x14ac:dyDescent="0.25">
      <c r="A59" s="21" t="s">
        <v>124</v>
      </c>
      <c r="B59" s="23">
        <f>B40-B52</f>
        <v>265525</v>
      </c>
      <c r="C59" s="23">
        <f>IF(C36&gt;0,C40-D52,"")</f>
        <v>231280.986</v>
      </c>
    </row>
    <row r="60" spans="1:6" x14ac:dyDescent="0.25">
      <c r="A60" s="21" t="s">
        <v>125</v>
      </c>
      <c r="B60" s="17">
        <f>IFERROR(B59/B22,"")</f>
        <v>5.5899999999999998E-2</v>
      </c>
      <c r="C60" s="17">
        <f>IF(C59="","",IFERROR(C59/B22,""))</f>
        <v>4.869073389473684E-2</v>
      </c>
      <c r="F60" s="2" t="s">
        <v>126</v>
      </c>
    </row>
    <row r="61" spans="1:6" x14ac:dyDescent="0.25">
      <c r="A61" t="s">
        <v>127</v>
      </c>
      <c r="B61" s="18">
        <f>IFERROR(B22/B36,"")</f>
        <v>12.759999999999998</v>
      </c>
      <c r="C61" s="18">
        <f>IF(C36&gt;0,IFERROR(B22/C36,""),"")</f>
        <v>12.761818787546614</v>
      </c>
    </row>
    <row r="62" spans="1:6" x14ac:dyDescent="0.25">
      <c r="A62" t="s">
        <v>128</v>
      </c>
      <c r="B62" s="8">
        <f>IFERROR(B59/B7,"")</f>
        <v>22127.083333333332</v>
      </c>
      <c r="C62" s="8">
        <f>IF(C59="","",IFERROR(C59/B7,""))</f>
        <v>19273.415499999999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2850000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2504190.6234424333</v>
      </c>
    </row>
    <row r="67" spans="1:2" x14ac:dyDescent="0.25">
      <c r="A67" s="21" t="s">
        <v>132</v>
      </c>
      <c r="B67" s="8">
        <f>IFERROR(MIN(B65,B66),"")</f>
        <v>2504190.6234424333</v>
      </c>
    </row>
    <row r="68" spans="1:2" x14ac:dyDescent="0.25">
      <c r="A68" t="s">
        <v>133</v>
      </c>
      <c r="B68" s="8">
        <f>IFERROR(B22-B67,"")</f>
        <v>2245809.3765575667</v>
      </c>
    </row>
    <row r="69" spans="1:2" x14ac:dyDescent="0.25">
      <c r="A69" t="s">
        <v>134</v>
      </c>
      <c r="B69" s="8">
        <f>IFERROR(-PMT(Assumptions!$B$22/12,Assumptions!$B$23*12,B67)*12,"")</f>
        <v>185024.78879999943</v>
      </c>
    </row>
    <row r="70" spans="1:2" x14ac:dyDescent="0.25">
      <c r="A70" t="s">
        <v>135</v>
      </c>
      <c r="B70" s="18">
        <f>IFERROR(C59/B69,"")</f>
        <v>1.250000000000004</v>
      </c>
    </row>
    <row r="71" spans="1:2" x14ac:dyDescent="0.25">
      <c r="A71" t="s">
        <v>136</v>
      </c>
      <c r="B71" s="8">
        <f>IFERROR(C59-B69,"")</f>
        <v>46256.197200000577</v>
      </c>
    </row>
    <row r="72" spans="1:2" x14ac:dyDescent="0.25">
      <c r="A72" t="s">
        <v>137</v>
      </c>
      <c r="B72" s="17">
        <f>IFERROR(B71/B68,"")</f>
        <v>2.0596671152430239E-2</v>
      </c>
    </row>
    <row r="74" spans="1:2" x14ac:dyDescent="0.25">
      <c r="A74" s="2" t="s">
        <v>138</v>
      </c>
    </row>
  </sheetData>
  <hyperlinks>
    <hyperlink ref="A3" r:id="rId1" xr:uid="{330C4A0F-DCBC-4121-A0DA-F9ECB669BED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07 2626 Cloverfield Blvd</vt:lpstr>
      <vt:lpstr>'07 2626 Cloverfield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2026-09-17T18:55:55Z</dcterms:created>
  <dcterms:modified xsi:type="dcterms:W3CDTF">2026-09-17T18:55:58Z</dcterms:modified>
</cp:coreProperties>
</file>