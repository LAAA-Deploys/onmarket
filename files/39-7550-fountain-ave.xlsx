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935CC56-125E-41AA-8B76-44F2FD9A66C4}" xr6:coauthVersionLast="47" xr6:coauthVersionMax="47" xr10:uidLastSave="{00000000-0000-0000-0000-000000000000}"/>
  <bookViews>
    <workbookView xWindow="-120" yWindow="-120" windowWidth="29040" windowHeight="15720" activeTab="1" xr2:uid="{A09AF999-F45E-4DDE-892D-284FD6890F12}"/>
  </bookViews>
  <sheets>
    <sheet name="Assumptions" sheetId="1" r:id="rId1"/>
    <sheet name="39 7550 Fountain Ave" sheetId="2" r:id="rId2"/>
  </sheets>
  <definedNames>
    <definedName name="_xlnm.Print_Area" localSheetId="1">'39 7550 Fountain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C50" i="2"/>
  <c r="D50" i="2" s="1"/>
  <c r="E49" i="2"/>
  <c r="D49" i="2"/>
  <c r="C49" i="2"/>
  <c r="E48" i="2"/>
  <c r="D48" i="2"/>
  <c r="C48" i="2"/>
  <c r="E47" i="2"/>
  <c r="C47" i="2"/>
  <c r="D47" i="2" s="1"/>
  <c r="E46" i="2"/>
  <c r="E45" i="2"/>
  <c r="D45" i="2"/>
  <c r="C45" i="2"/>
  <c r="E44" i="2"/>
  <c r="D44" i="2"/>
  <c r="C44" i="2"/>
  <c r="B39" i="2"/>
  <c r="B38" i="2"/>
  <c r="B40" i="2" s="1"/>
  <c r="B54" i="2" s="1"/>
  <c r="D32" i="2"/>
  <c r="B32" i="2"/>
  <c r="C32" i="2" s="1"/>
  <c r="E31" i="2"/>
  <c r="D31" i="2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D52" i="2" s="1"/>
  <c r="D53" i="2" s="1"/>
  <c r="C61" i="2"/>
  <c r="C52" i="2"/>
  <c r="D54" i="2" l="1"/>
  <c r="C54" i="2"/>
  <c r="C53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<sst xmlns="http://schemas.openxmlformats.org/spreadsheetml/2006/main" count="149" uniqueCount="141">
  <si>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</si>
  <si>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</si>
  <si>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</si>
  <si>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</si>
  <si>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</si>
  <si>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</si>
  <si>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</si>
  <si>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</si>
  <si>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</si>
  <si>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</si>
  <si>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</si>
  <si>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</si>
  <si>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</si>
  <si>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</si>
  <si>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</si>
  <si>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</si>
  <si>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</si>
  <si>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</si>
  <si>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</si>
  <si>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</si>
  <si>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</si>
  <si>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</si>
  <si>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</si>
  <si>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</si>
  <si>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</si>
  <si>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</si>
  <si>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</si>
  <si>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</si>
  <si>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</si>
  <si>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</si>
  <si>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</si>
  <si>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</si>
  <si>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</si>
  <si>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</si>
  <si>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</si>
  <si>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</si>
  <si>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</si>
  <si>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</si>
  <si>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</si>
  <si>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</si>
  <si>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</si>
  <si>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</si>
  <si>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</si>
  <si>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</si>
  <si>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</si>
  <si>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</si>
  <si>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</si>
  <si>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7550 Fountain Ave</t>
  </si>
  <si>
    <t>West Hollywood, CA 90046  |  West Hollywood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</si>
  <si>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</si>
  <si>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</si>
  <si>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</si>
  <si>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</si>
  <si>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</si>
  <si>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</si>
  <si>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</si>
  <si>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</si>
  <si>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</si>
  <si>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</si>
  <si>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</si>
  <si>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</si>
  <si>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WDR2* - Two-Family Dwellings</t>
  </si>
  <si>
    <t>Occupancy per listing</t>
  </si>
  <si>
    <t>100%</t>
  </si>
  <si>
    <t>APN</t>
  </si>
  <si>
    <t>5530-005-002</t>
  </si>
  <si>
    <t>Assessed value (current)</t>
  </si>
  <si>
    <t>Listing broker(s)</t>
  </si>
  <si>
    <t>Yar Meshkaty</t>
  </si>
  <si>
    <t>Date on market</t>
  </si>
  <si>
    <t>2/18/2026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</si>
  <si>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</si>
  <si>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</si>
  <si>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</si>
  <si>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</si>
  <si>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</si>
  <si>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</si>
  <si>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</si>
  <si>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</si>
  <si>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</si>
  <si>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</si>
  <si>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</si>
  <si>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</si>
  <si>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</si>
  <si>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</si>
  <si>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</si>
  <si>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</si>
  <si>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ESTIMATED (no rents, GRM or cap published) - verify with OM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</si>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</sst>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B805F44-9DB6-4A2D-8AE9-883846313E7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7550-Fountain-Ave-West-Hollywood-CA/394813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90B2-98FB-476E-BF03-36B3ED8BEE1B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12A2-E007-4742-BF4E-50D74C4926F8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9444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1958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3580514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3795000</v>
      </c>
    </row>
    <row r="23" spans="1:6" x14ac:dyDescent="0.25">
      <c r="A23" t="s">
        <v>75</v>
      </c>
      <c r="B23" s="8">
        <f>IFERROR(B22/B7,"")</f>
        <v>379500</v>
      </c>
    </row>
    <row r="24" spans="1:6" x14ac:dyDescent="0.25">
      <c r="A24" t="s">
        <v>76</v>
      </c>
      <c r="B24" s="17">
        <f>IFERROR(B22/B8,"")</f>
        <v>401.84243964421853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6</v>
      </c>
      <c r="C30" s="21">
        <v>2400</v>
      </c>
      <c r="D30" s="8">
        <f>B30*C30</f>
        <v>14400</v>
      </c>
      <c r="E30" s="8">
        <f>D30*12</f>
        <v>172800</v>
      </c>
      <c r="F30" s="2" t="s">
        <v>87</v>
      </c>
    </row>
    <row r="31" spans="1:6" x14ac:dyDescent="0.25">
      <c r="A31" t="s">
        <v>88</v>
      </c>
      <c r="B31" s="15">
        <v>4</v>
      </c>
      <c r="C31" s="21">
        <v>3200</v>
      </c>
      <c r="D31" s="8">
        <f>B31*C31</f>
        <v>12800</v>
      </c>
      <c r="E31" s="8">
        <f>D31*12</f>
        <v>153600</v>
      </c>
      <c r="F31" s="2" t="s">
        <v>87</v>
      </c>
    </row>
    <row r="32" spans="1:6" x14ac:dyDescent="0.25">
      <c r="A32" s="22" t="s">
        <v>89</v>
      </c>
      <c r="B32" s="23">
        <f>SUM(B30:B31)</f>
        <v>10</v>
      </c>
      <c r="C32" s="24">
        <f>IFERROR(D32/B32,"")</f>
        <v>2720</v>
      </c>
      <c r="D32" s="24">
        <f>SUM(D30:D31)</f>
        <v>27200</v>
      </c>
      <c r="E32" s="24">
        <f>SUM(E30:E31)</f>
        <v>326400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/>
      <c r="C36" s="8">
        <f>E32</f>
        <v>326400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326400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-9792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316608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B22*Assumptions!$B$18</f>
        <v>45540</v>
      </c>
      <c r="D44" s="26">
        <f>C44</f>
        <v>45540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11444</v>
      </c>
      <c r="D45" s="26">
        <f t="shared" ref="D45:D51" si="1">IF(ISNUMBER(B45),MAX(B45,C45),C45)</f>
        <v>11444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15830.400000000001</v>
      </c>
      <c r="D46" s="26">
        <f t="shared" si="1"/>
        <v>15830.400000000001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B7*Assumptions!$B$11</f>
        <v>16000</v>
      </c>
      <c r="D48" s="26">
        <f t="shared" si="1"/>
        <v>16000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110314.4</v>
      </c>
      <c r="D52" s="24">
        <f>SUM(D44:D51)</f>
        <v>110314.4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11031.439999999999</v>
      </c>
      <c r="D53" s="8">
        <f>IFERROR(D52/B7,"")</f>
        <v>11031.439999999999</v>
      </c>
    </row>
    <row r="54" spans="1:6" x14ac:dyDescent="0.25">
      <c r="A54" t="s">
        <v>123</v>
      </c>
      <c r="B54" s="18" t="str">
        <f>IFERROR(B52/B40,"")</f>
        <v/>
      </c>
      <c r="C54" s="18">
        <f>IFERROR(C52/C40,"")</f>
        <v>0.34842581362441882</v>
      </c>
      <c r="D54" s="18">
        <f>IF(C36&gt;0,IFERROR(D52/C40,""),"")</f>
        <v>0.34842581362441882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2"/>
      <c r="C59" s="24">
        <f>IF(C36&gt;0,C40-D52,"")</f>
        <v>206293.6</v>
      </c>
    </row>
    <row r="60" spans="1:6" x14ac:dyDescent="0.25">
      <c r="A60" s="22" t="s">
        <v>127</v>
      </c>
      <c r="B60" s="18">
        <f>IFERROR(B59/B22,"")</f>
        <v>0</v>
      </c>
      <c r="C60" s="18">
        <f>IF(C59="","",IFERROR(C59/B22,""))</f>
        <v>5.4359314888010539E-2</v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>
        <f>IF(C36&gt;0,IFERROR(B22/C36,""),"")</f>
        <v>11.626838235294118</v>
      </c>
    </row>
    <row r="62" spans="1:6" x14ac:dyDescent="0.25">
      <c r="A62" t="s">
        <v>130</v>
      </c>
      <c r="B62" s="8">
        <f>IFERROR(B59/B7,"")</f>
        <v>0</v>
      </c>
      <c r="C62" s="8">
        <f>IF(C59="","",IFERROR(C59/B7,""))</f>
        <v>20629.36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2277000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2233640.1609606766</v>
      </c>
    </row>
    <row r="67" spans="1:2" x14ac:dyDescent="0.25">
      <c r="A67" s="22" t="s">
        <v>134</v>
      </c>
      <c r="B67" s="8">
        <f>IFERROR(MIN(B65,B66),"")</f>
        <v>2233640.1609606766</v>
      </c>
    </row>
    <row r="68" spans="1:2" x14ac:dyDescent="0.25">
      <c r="A68" t="s">
        <v>135</v>
      </c>
      <c r="B68" s="8">
        <f>IFERROR(B22-B67,"")</f>
        <v>1561359.8390393234</v>
      </c>
    </row>
    <row r="69" spans="1:2" x14ac:dyDescent="0.25">
      <c r="A69" t="s">
        <v>136</v>
      </c>
      <c r="B69" s="8">
        <f>IFERROR(-PMT(Assumptions!$B$22/12,Assumptions!$B$23*12,B67)*12,"")</f>
        <v>165034.87999999951</v>
      </c>
    </row>
    <row r="70" spans="1:2" x14ac:dyDescent="0.25">
      <c r="A70" t="s">
        <v>137</v>
      </c>
      <c r="B70" s="19">
        <f>IFERROR(C59/B69,"")</f>
        <v>1.2500000000000038</v>
      </c>
    </row>
    <row r="71" spans="1:2" x14ac:dyDescent="0.25">
      <c r="A71" t="s">
        <v>138</v>
      </c>
      <c r="B71" s="8">
        <f>IFERROR(C59-B69,"")</f>
        <v>41258.720000000496</v>
      </c>
    </row>
    <row r="72" spans="1:2" x14ac:dyDescent="0.25">
      <c r="A72" t="s">
        <v>139</v>
      </c>
      <c r="B72" s="18">
        <f>IFERROR(B71/B68,"")</f>
        <v>2.6424863102272596E-2</v>
      </c>
    </row>
    <row r="74" spans="1:2" x14ac:dyDescent="0.25">
      <c r="A74" s="2" t="s">
        <v>140</v>
      </c>
    </row>
  </sheetData>
  <hyperlinks>
    <hyperlink ref="A3" r:id="rId1" xr:uid="{7F286585-A9E8-41A3-A10C-B84FA373C574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39 7550 Fountain Ave</vt:lpstr>
      <vt:lpstr>'39 7550 Fountain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2026-09-17T19:27:32Z</dcterms:created>
  <dcterms:modified xsi:type="dcterms:W3CDTF">2026-09-17T19:27:34Z</dcterms:modified>
</cp:coreProperties>
</file>