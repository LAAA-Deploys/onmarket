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9B466E2-0E4C-48B9-BA70-20DDBE7F5995}" xr6:coauthVersionLast="47" xr6:coauthVersionMax="47" xr10:uidLastSave="{00000000-0000-0000-0000-000000000000}"/>
  <bookViews>
    <workbookView xWindow="-120" yWindow="-120" windowWidth="29040" windowHeight="15720" activeTab="1" xr2:uid="{DFCB76DE-0D0D-41BF-9CC0-2FB006D76802}"/>
  </bookViews>
  <sheets>
    <sheet name="Assumptions" sheetId="1" r:id="rId1"/>
    <sheet name="31 3602 Keystone Ave" sheetId="2" r:id="rId2"/>
  </sheets>
  <definedNames>
    <definedName name="_xlnm.Print_Area" localSheetId="1">'31 3602 Keystone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E33" i="2" s="1"/>
  <c r="C37" i="2" s="1"/>
  <c r="B24" i="2"/>
  <c r="B23" i="2"/>
  <c r="B53" i="2" l="1"/>
  <c r="B60" i="2"/>
  <c r="C40" i="2"/>
  <c r="C39" i="2"/>
  <c r="C62" i="2"/>
  <c r="C41" i="2" l="1"/>
  <c r="B61" i="2"/>
  <c r="B63" i="2"/>
  <c r="B54" i="2"/>
  <c r="B55" i="2"/>
  <c r="C47" i="2" l="1"/>
  <c r="D47" i="2" l="1"/>
  <c r="D53" i="2" s="1"/>
  <c r="C53" i="2"/>
  <c r="C55" i="2" l="1"/>
  <c r="C54" i="2"/>
  <c r="D54" i="2"/>
  <c r="D55" i="2"/>
  <c r="E53" i="2"/>
  <c r="B56" i="2"/>
  <c r="C60" i="2"/>
  <c r="C61" i="2" l="1"/>
  <c r="B67" i="2"/>
  <c r="B68" i="2" s="1"/>
  <c r="C6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<sst xmlns="http://schemas.openxmlformats.org/spreadsheetml/2006/main" count="151" uniqueCount="141">
  <si>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</si>
  <si>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</si>
  <si>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</si>
  <si>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</si>
  <si>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</si>
  <si>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</si>
  <si>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</si>
  <si>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</si>
  <si>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</si>
  <si>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</si>
  <si>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</si>
  <si>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</si>
  <si>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</si>
  <si>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</si>
  <si>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</si>
  <si>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</si>
  <si>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</si>
  <si>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</si>
  <si>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</si>
  <si>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</si>
  <si>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</si>
  <si>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</si>
  <si>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</si>
  <si>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</si>
  <si>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</si>
  <si>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</si>
  <si>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</si>
  <si>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</si>
  <si>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</si>
  <si>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</si>
  <si>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</si>
  <si>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</si>
  <si>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</si>
  <si>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</si>
  <si>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</si>
  <si>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</si>
  <si>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</si>
  <si>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</si>
  <si>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</si>
  <si>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</si>
  <si>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</si>
  <si>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</si>
  <si>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</si>
  <si>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</si>
  <si>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</si>
  <si>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</si>
  <si>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</si>
  <si>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3602 Keystone Ave</t>
  </si>
  <si>
    <t>Los Angeles, CA 90034  |  Palms</t>
  </si>
  <si>
    <t>LoopNet listing</t>
  </si>
  <si>
    <t>Data pulled 9/17/2026 from LoopNet public listing</t>
  </si>
  <si>
    <t>NOTE: 80% occupied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</si>
  <si>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</si>
  <si>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</si>
  <si>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</si>
  <si>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</si>
  <si>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</si>
  <si>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</si>
  <si>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</si>
  <si>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</si>
  <si>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</si>
  <si>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</si>
  <si>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</si>
  <si>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80%</t>
  </si>
  <si>
    <t>APN</t>
  </si>
  <si>
    <t>4314-009-036</t>
  </si>
  <si>
    <t>Assessed value (current)</t>
  </si>
  <si>
    <t>Listing broker(s)</t>
  </si>
  <si>
    <t>Peter James, Will James</t>
  </si>
  <si>
    <t>Date on market</t>
  </si>
  <si>
    <t>8/13/2026</t>
  </si>
  <si>
    <t>Listing last updated</t>
  </si>
  <si>
    <t>9/8/2026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</si>
  <si>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</si>
  <si>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</si>
  <si>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</si>
  <si>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</si>
  <si>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</si>
  <si>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</si>
  <si>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</si>
  <si>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</si>
  <si>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</si>
  <si>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</si>
  <si>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</si>
  <si>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</si>
  <si>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</si>
  <si>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</si>
  <si>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</si>
  <si>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1.5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</si>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</sst>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FAC7652-1C0A-4059-BD3D-FF37BA71198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602-Keystone-Ave-Los-Angeles-CA/417381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9ED0-0B99-4C4E-97C6-3B27EDACCBA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4ED0-D8E6-4E9C-AD04-34E1999D8BDD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7032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  <c r="B11">
        <v>1967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2610677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2675000</v>
      </c>
    </row>
    <row r="23" spans="1:6" x14ac:dyDescent="0.25">
      <c r="A23" t="s">
        <v>75</v>
      </c>
      <c r="B23" s="8">
        <f>IFERROR(B22/B7,"")</f>
        <v>267500</v>
      </c>
    </row>
    <row r="24" spans="1:6" x14ac:dyDescent="0.25">
      <c r="A24" t="s">
        <v>76</v>
      </c>
      <c r="B24" s="17">
        <f>IFERROR(B22/B8,"")</f>
        <v>380.40386803185436</v>
      </c>
    </row>
    <row r="25" spans="1:6" x14ac:dyDescent="0.25">
      <c r="A25" t="s">
        <v>77</v>
      </c>
      <c r="B25" s="18">
        <v>5.6099999999999997E-2</v>
      </c>
    </row>
    <row r="26" spans="1:6" x14ac:dyDescent="0.25">
      <c r="A26" t="s">
        <v>78</v>
      </c>
      <c r="B26" s="19">
        <v>11.19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4">
        <v>2250</v>
      </c>
      <c r="D30" s="8">
        <f>B30*C30</f>
        <v>15750</v>
      </c>
      <c r="E30" s="8">
        <f>D30*12</f>
        <v>189000</v>
      </c>
      <c r="F30" s="2" t="s">
        <v>87</v>
      </c>
    </row>
    <row r="31" spans="1:6" x14ac:dyDescent="0.25">
      <c r="A31" t="s">
        <v>88</v>
      </c>
      <c r="B31" s="15">
        <v>2</v>
      </c>
      <c r="C31" s="4">
        <v>2750</v>
      </c>
      <c r="D31" s="8">
        <f>B31*C31</f>
        <v>5500</v>
      </c>
      <c r="E31" s="8">
        <f>D31*12</f>
        <v>66000</v>
      </c>
      <c r="F31" s="2" t="s">
        <v>87</v>
      </c>
    </row>
    <row r="32" spans="1:6" x14ac:dyDescent="0.25">
      <c r="A32" t="s">
        <v>34</v>
      </c>
      <c r="B32" s="15">
        <v>1</v>
      </c>
      <c r="C32" s="4">
        <v>1650</v>
      </c>
      <c r="D32" s="8">
        <f>B32*C32</f>
        <v>1650</v>
      </c>
      <c r="E32" s="8">
        <f>D32*12</f>
        <v>19800</v>
      </c>
      <c r="F32" s="2" t="s">
        <v>87</v>
      </c>
    </row>
    <row r="33" spans="1:6" x14ac:dyDescent="0.25">
      <c r="A33" s="21" t="s">
        <v>89</v>
      </c>
      <c r="B33" s="22">
        <f>SUM(B30:B32)</f>
        <v>10</v>
      </c>
      <c r="C33" s="23">
        <f>IFERROR(D33/B33,"")</f>
        <v>2290</v>
      </c>
      <c r="D33" s="23">
        <f>SUM(D30:D32)</f>
        <v>22900</v>
      </c>
      <c r="E33" s="23">
        <f>SUM(E30:E32)</f>
        <v>274800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239052.7256478999</v>
      </c>
      <c r="C37" s="8">
        <f>E33</f>
        <v>274800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239052.7256478999</v>
      </c>
      <c r="C39" s="8">
        <f>C37+C38</f>
        <v>274800</v>
      </c>
    </row>
    <row r="40" spans="1:6" x14ac:dyDescent="0.25">
      <c r="A40" t="s">
        <v>98</v>
      </c>
      <c r="B40" s="8">
        <f>-B37*0.03</f>
        <v>-7171.5817694369971</v>
      </c>
      <c r="C40" s="8">
        <f>-C37*Assumptions!$B$3</f>
        <v>-8244</v>
      </c>
      <c r="F40" s="2" t="s">
        <v>99</v>
      </c>
    </row>
    <row r="41" spans="1:6" x14ac:dyDescent="0.25">
      <c r="A41" s="21" t="s">
        <v>100</v>
      </c>
      <c r="B41" s="23">
        <f>B39+B40</f>
        <v>231881.1438784629</v>
      </c>
      <c r="C41" s="23">
        <f>C39+C40</f>
        <v>266556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33437.5</v>
      </c>
      <c r="D45" s="25">
        <f>C45</f>
        <v>33437.5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9032</v>
      </c>
      <c r="D46" s="25">
        <f t="shared" ref="D46:D52" si="1">IF(ISNUMBER(B46),MAX(B46,C46),C46)</f>
        <v>9032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13327.800000000001</v>
      </c>
      <c r="D47" s="25">
        <f t="shared" si="1"/>
        <v>13327.800000000001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15000</v>
      </c>
      <c r="D49" s="25">
        <f t="shared" si="1"/>
        <v>15000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3">
        <f>B41-B22*B25</f>
        <v>81813.643878462899</v>
      </c>
      <c r="C53" s="23">
        <f>SUM(C45:C52)</f>
        <v>92297.3</v>
      </c>
      <c r="D53" s="23">
        <f>SUM(D45:D52)</f>
        <v>92297.3</v>
      </c>
      <c r="E53" s="23">
        <f t="shared" si="0"/>
        <v>10483.656121537104</v>
      </c>
      <c r="F53" s="2" t="s">
        <v>121</v>
      </c>
    </row>
    <row r="54" spans="1:6" x14ac:dyDescent="0.25">
      <c r="A54" t="s">
        <v>122</v>
      </c>
      <c r="B54" s="8">
        <f>IFERROR(B53/B7,"")</f>
        <v>8181.3643878462899</v>
      </c>
      <c r="C54" s="8">
        <f>IFERROR(C53/B7,"")</f>
        <v>9229.73</v>
      </c>
      <c r="D54" s="8">
        <f>IFERROR(D53/B7,"")</f>
        <v>9229.73</v>
      </c>
    </row>
    <row r="55" spans="1:6" x14ac:dyDescent="0.25">
      <c r="A55" t="s">
        <v>123</v>
      </c>
      <c r="B55" s="18">
        <f>IFERROR(B53/B41,"")</f>
        <v>0.35282577319587627</v>
      </c>
      <c r="C55" s="18">
        <f>IFERROR(C53/C41,"")</f>
        <v>0.34625857230750762</v>
      </c>
      <c r="D55" s="18">
        <f>IF(C37&gt;0,IFERROR(D53/C41,""),"")</f>
        <v>0.34625857230750762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B41-B53</f>
        <v>150067.5</v>
      </c>
      <c r="C60" s="23">
        <f>IF(C37&gt;0,C41-D53,"")</f>
        <v>174258.7</v>
      </c>
    </row>
    <row r="61" spans="1:6" x14ac:dyDescent="0.25">
      <c r="A61" s="21" t="s">
        <v>127</v>
      </c>
      <c r="B61" s="18">
        <f>IFERROR(B60/B22,"")</f>
        <v>5.6099999999999997E-2</v>
      </c>
      <c r="C61" s="18">
        <f>IF(C60="","",IFERROR(C60/B22,""))</f>
        <v>6.5143439252336455E-2</v>
      </c>
      <c r="F61" s="2" t="s">
        <v>128</v>
      </c>
    </row>
    <row r="62" spans="1:6" x14ac:dyDescent="0.25">
      <c r="A62" t="s">
        <v>129</v>
      </c>
      <c r="B62" s="19">
        <f>IFERROR(B22/B37,"")</f>
        <v>11.19</v>
      </c>
      <c r="C62" s="19">
        <f>IF(C37&gt;0,IFERROR(B22/C37,""),"")</f>
        <v>9.7343522561863178</v>
      </c>
    </row>
    <row r="63" spans="1:6" x14ac:dyDescent="0.25">
      <c r="A63" t="s">
        <v>130</v>
      </c>
      <c r="B63" s="8">
        <f>IFERROR(B60/B7,"")</f>
        <v>15006.75</v>
      </c>
      <c r="C63" s="8">
        <f>IF(C60="","",IFERROR(C60/B7,""))</f>
        <v>17425.870000000003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1605000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1886782.870223789</v>
      </c>
    </row>
    <row r="68" spans="1:6" x14ac:dyDescent="0.25">
      <c r="A68" s="21" t="s">
        <v>134</v>
      </c>
      <c r="B68" s="8">
        <f>IFERROR(MIN(B66,B67),"")</f>
        <v>1605000</v>
      </c>
    </row>
    <row r="69" spans="1:6" x14ac:dyDescent="0.25">
      <c r="A69" t="s">
        <v>135</v>
      </c>
      <c r="B69" s="8">
        <f>IFERROR(B22-B68,"")</f>
        <v>1070000</v>
      </c>
    </row>
    <row r="70" spans="1:6" x14ac:dyDescent="0.25">
      <c r="A70" t="s">
        <v>136</v>
      </c>
      <c r="B70" s="8">
        <f>IFERROR(-PMT(Assumptions!$B$22/12,Assumptions!$B$23*12,B68)*12,"")</f>
        <v>118587.13280212301</v>
      </c>
    </row>
    <row r="71" spans="1:6" x14ac:dyDescent="0.25">
      <c r="A71" t="s">
        <v>137</v>
      </c>
      <c r="B71" s="19">
        <f>IFERROR(C60/B70,"")</f>
        <v>1.4694570640372235</v>
      </c>
    </row>
    <row r="72" spans="1:6" x14ac:dyDescent="0.25">
      <c r="A72" t="s">
        <v>138</v>
      </c>
      <c r="B72" s="8">
        <f>IFERROR(C60-B70,"")</f>
        <v>55671.567197876997</v>
      </c>
    </row>
    <row r="73" spans="1:6" x14ac:dyDescent="0.25">
      <c r="A73" t="s">
        <v>139</v>
      </c>
      <c r="B73" s="18">
        <f>IFERROR(B72/B69,"")</f>
        <v>5.2029502054090654E-2</v>
      </c>
    </row>
    <row r="75" spans="1:6" x14ac:dyDescent="0.25">
      <c r="A75" s="2" t="s">
        <v>140</v>
      </c>
    </row>
  </sheetData>
  <hyperlinks>
    <hyperlink ref="A3" r:id="rId1" xr:uid="{739B9DE4-EC93-4F4C-95C8-0340EE524F33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31 3602 Keystone Ave</vt:lpstr>
      <vt:lpstr>'31 3602 Keystone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2026-09-17T18:57:28Z</dcterms:created>
  <dcterms:modified xsi:type="dcterms:W3CDTF">2026-09-17T18:57:31Z</dcterms:modified>
</cp:coreProperties>
</file>