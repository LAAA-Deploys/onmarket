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07283EC8-B0F5-491C-8615-0B7701E264D2}" xr6:coauthVersionLast="47" xr6:coauthVersionMax="47" xr10:uidLastSave="{00000000-0000-0000-0000-000000000000}"/>
  <bookViews>
    <workbookView xWindow="-120" yWindow="-120" windowWidth="29040" windowHeight="15720" activeTab="1" xr2:uid="{7AB1FA6E-058B-4CFF-86D7-98910E3BFF79}"/>
  </bookViews>
  <sheets>
    <sheet name="Assumptions" sheetId="1" r:id="rId1"/>
    <sheet name="20 1524 Granville Ave" sheetId="2" r:id="rId2"/>
  </sheets>
  <definedNames>
    <definedName name="_xlnm.Print_Area" localSheetId="1">'20 1524 Granville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/>
  <c r="E32" i="2"/>
  <c r="C36" i="2" s="1"/>
  <c r="C61" i="2" l="1"/>
  <c r="C39" i="2"/>
  <c r="C38" i="2"/>
  <c r="C40" i="2" s="1"/>
  <c r="C46" i="2" s="1"/>
  <c r="B60" i="2"/>
  <c r="B62" i="2"/>
  <c r="B54" i="2"/>
  <c r="B53" i="2"/>
  <c r="D46" i="2" l="1"/>
  <c r="D52" i="2" s="1"/>
  <c r="C52" i="2"/>
  <c r="C59" i="2"/>
  <c r="C54" i="2" l="1"/>
  <c r="C53" i="2"/>
  <c r="C60" i="2"/>
  <c r="B66" i="2"/>
  <c r="B67" i="2" s="1"/>
  <c r="C62" i="2"/>
  <c r="D53" i="2"/>
  <c r="D54" i="2"/>
  <c r="E52" i="2"/>
  <c r="B55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<sst xmlns="http://schemas.openxmlformats.org/spreadsheetml/2006/main" count="149" uniqueCount="141">
  <si>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</si>
  <si>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</si>
  <si>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</si>
  <si>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</si>
  <si>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</si>
  <si>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</si>
  <si>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</si>
  <si>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</si>
  <si>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</si>
  <si>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</si>
  <si>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</si>
  <si>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</si>
  <si>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</si>
  <si>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</si>
  <si>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</si>
  <si>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</si>
  <si>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</si>
  <si>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</si>
  <si>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</si>
  <si>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</si>
  <si>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</si>
  <si>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</si>
  <si>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</si>
  <si>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</si>
  <si>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</si>
  <si>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</si>
  <si>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</si>
  <si>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</si>
  <si>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</si>
  <si>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</si>
  <si>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</si>
  <si>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</si>
  <si>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</si>
  <si>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</si>
  <si>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</si>
  <si>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</si>
  <si>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</si>
  <si>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</si>
  <si>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</si>
  <si>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</si>
  <si>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</si>
  <si>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</si>
  <si>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</si>
  <si>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</si>
  <si>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</si>
  <si>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</si>
  <si>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</si>
  <si>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1524 Granville Ave</t>
  </si>
  <si>
    <t>Los Angeles, CA 90025  |  West LA / Sawtelle</t>
  </si>
  <si>
    <t>LoopNet listing</t>
  </si>
  <si>
    <t>Data pulled 9/17/2026 from LoopNet public listing</t>
  </si>
  <si>
    <t>NOTE: 1988 build, RSO exempt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</si>
  <si>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</si>
  <si>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</si>
  <si>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</si>
  <si>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</si>
  <si>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</si>
  <si>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</si>
  <si>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</si>
  <si>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</si>
  <si>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</si>
  <si>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LAR3</t>
  </si>
  <si>
    <t>Occupancy per listing</t>
  </si>
  <si>
    <t>90%</t>
  </si>
  <si>
    <t>APN</t>
  </si>
  <si>
    <t>4262-006-031</t>
  </si>
  <si>
    <t>Assessed value (current)</t>
  </si>
  <si>
    <t>Listing broker(s)</t>
  </si>
  <si>
    <t>Jonathan Taksa</t>
  </si>
  <si>
    <t>Date on market</t>
  </si>
  <si>
    <t>8/24/2026</t>
  </si>
  <si>
    <t>Listing last updated</t>
  </si>
  <si>
    <t>9/16/2026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</si>
  <si>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</si>
  <si>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</si>
  <si>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</si>
  <si>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</si>
  <si>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</si>
  <si>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</si>
  <si>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</si>
  <si>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</si>
  <si>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</si>
  <si>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</si>
  <si>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</si>
  <si>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</si>
  <si>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</si>
  <si>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2.5 Ba  (~1200 SF)</t>
  </si>
  <si>
    <t>Allocated from published GRM (price / GRM) using LAAA bed weights</t>
  </si>
  <si>
    <t>3 Bd / 3 Ba  (~1300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</si>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</sst>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55D2C0F-E8CE-4766-B2B8-BC3EC5C3E2E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524-Granville-Ave-Los-Angeles-CA/418609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3C8D-70C5-4273-B682-2E83676D56E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BD87-809C-45F6-857E-3821ACB13B29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14298</v>
      </c>
    </row>
    <row r="9" spans="1:3" x14ac:dyDescent="0.25">
      <c r="A9" t="s">
        <v>55</v>
      </c>
      <c r="B9" s="15">
        <v>6970</v>
      </c>
    </row>
    <row r="10" spans="1:3" x14ac:dyDescent="0.25">
      <c r="A10" t="s">
        <v>56</v>
      </c>
      <c r="B10" s="16">
        <v>0.16</v>
      </c>
    </row>
    <row r="11" spans="1:3" x14ac:dyDescent="0.25">
      <c r="A11" t="s">
        <v>57</v>
      </c>
      <c r="B11">
        <v>1988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5945429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5250000</v>
      </c>
    </row>
    <row r="23" spans="1:6" x14ac:dyDescent="0.25">
      <c r="A23" t="s">
        <v>75</v>
      </c>
      <c r="B23" s="8">
        <f>IFERROR(B22/B7,"")</f>
        <v>525000</v>
      </c>
    </row>
    <row r="24" spans="1:6" x14ac:dyDescent="0.25">
      <c r="A24" t="s">
        <v>76</v>
      </c>
      <c r="B24" s="17">
        <f>IFERROR(B22/B8,"")</f>
        <v>367.1842215694503</v>
      </c>
    </row>
    <row r="25" spans="1:6" x14ac:dyDescent="0.25">
      <c r="A25" t="s">
        <v>77</v>
      </c>
      <c r="B25" s="18">
        <v>5.5399999999999998E-2</v>
      </c>
    </row>
    <row r="26" spans="1:6" x14ac:dyDescent="0.25">
      <c r="A26" t="s">
        <v>78</v>
      </c>
      <c r="B26" s="19">
        <v>11.87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21">
        <v>3385</v>
      </c>
      <c r="D30" s="8">
        <f>B30*C30</f>
        <v>23695</v>
      </c>
      <c r="E30" s="8">
        <f>D30*12</f>
        <v>284340</v>
      </c>
      <c r="F30" s="2" t="s">
        <v>87</v>
      </c>
    </row>
    <row r="31" spans="1:6" x14ac:dyDescent="0.25">
      <c r="A31" t="s">
        <v>88</v>
      </c>
      <c r="B31" s="15">
        <v>3</v>
      </c>
      <c r="C31" s="21">
        <v>4388</v>
      </c>
      <c r="D31" s="8">
        <f>B31*C31</f>
        <v>13164</v>
      </c>
      <c r="E31" s="8">
        <f>D31*12</f>
        <v>157968</v>
      </c>
      <c r="F31" s="2" t="s">
        <v>87</v>
      </c>
    </row>
    <row r="32" spans="1:6" x14ac:dyDescent="0.25">
      <c r="A32" s="22" t="s">
        <v>89</v>
      </c>
      <c r="B32" s="23">
        <f>SUM(B30:B31)</f>
        <v>10</v>
      </c>
      <c r="C32" s="24">
        <f>IFERROR(D32/B32,"")</f>
        <v>3685.9</v>
      </c>
      <c r="D32" s="24">
        <f>SUM(D30:D31)</f>
        <v>36859</v>
      </c>
      <c r="E32" s="24">
        <f>SUM(E30:E31)</f>
        <v>442308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442291.49115417019</v>
      </c>
      <c r="C36" s="8">
        <f>E32</f>
        <v>442308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442291.49115417019</v>
      </c>
      <c r="C38" s="8">
        <f>C36+C37</f>
        <v>442308</v>
      </c>
    </row>
    <row r="39" spans="1:6" x14ac:dyDescent="0.25">
      <c r="A39" t="s">
        <v>98</v>
      </c>
      <c r="B39" s="8">
        <f>-B36*0.03</f>
        <v>-13268.744734625105</v>
      </c>
      <c r="C39" s="8">
        <f>-C36*Assumptions!$B$3</f>
        <v>-13269.24</v>
      </c>
      <c r="F39" s="2" t="s">
        <v>99</v>
      </c>
    </row>
    <row r="40" spans="1:6" x14ac:dyDescent="0.25">
      <c r="A40" s="22" t="s">
        <v>100</v>
      </c>
      <c r="B40" s="24">
        <f>B38+B39</f>
        <v>429022.74641954509</v>
      </c>
      <c r="C40" s="24">
        <f>C38+C39</f>
        <v>429038.76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65625</v>
      </c>
      <c r="D44" s="26">
        <f>C44</f>
        <v>65625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16298</v>
      </c>
      <c r="D45" s="26">
        <f t="shared" ref="D45:D51" si="1">IF(ISNUMBER(B45),MAX(B45,C45),C45)</f>
        <v>16298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21451.938000000002</v>
      </c>
      <c r="D46" s="26">
        <f t="shared" si="1"/>
        <v>21451.938000000002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15000</v>
      </c>
      <c r="D48" s="26">
        <f t="shared" si="1"/>
        <v>15000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138172.74641954509</v>
      </c>
      <c r="C52" s="24">
        <f>SUM(C44:C51)</f>
        <v>139874.93799999999</v>
      </c>
      <c r="D52" s="24">
        <f>SUM(D44:D51)</f>
        <v>139874.93799999999</v>
      </c>
      <c r="E52" s="24">
        <f t="shared" si="0"/>
        <v>1702.1915804549062</v>
      </c>
      <c r="F52" s="2" t="s">
        <v>121</v>
      </c>
    </row>
    <row r="53" spans="1:6" x14ac:dyDescent="0.25">
      <c r="A53" t="s">
        <v>122</v>
      </c>
      <c r="B53" s="8">
        <f>IFERROR(B52/B7,"")</f>
        <v>13817.274641954509</v>
      </c>
      <c r="C53" s="8">
        <f>IFERROR(C52/B7,"")</f>
        <v>13987.4938</v>
      </c>
      <c r="D53" s="8">
        <f>IFERROR(D52/B7,"")</f>
        <v>13987.4938</v>
      </c>
    </row>
    <row r="54" spans="1:6" x14ac:dyDescent="0.25">
      <c r="A54" t="s">
        <v>123</v>
      </c>
      <c r="B54" s="18">
        <f>IFERROR(B52/B40,"")</f>
        <v>0.32206391752577324</v>
      </c>
      <c r="C54" s="18">
        <f>IFERROR(C52/C40,"")</f>
        <v>0.3260193507924552</v>
      </c>
      <c r="D54" s="18">
        <f>IF(C36&gt;0,IFERROR(D52/C40,""),"")</f>
        <v>0.3260193507924552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290850</v>
      </c>
      <c r="C59" s="24">
        <f>IF(C36&gt;0,C40-D52,"")</f>
        <v>289163.82200000004</v>
      </c>
    </row>
    <row r="60" spans="1:6" x14ac:dyDescent="0.25">
      <c r="A60" s="22" t="s">
        <v>127</v>
      </c>
      <c r="B60" s="18">
        <f>IFERROR(B59/B22,"")</f>
        <v>5.5399999999999998E-2</v>
      </c>
      <c r="C60" s="18">
        <f>IF(C59="","",IFERROR(C59/B22,""))</f>
        <v>5.5078823238095244E-2</v>
      </c>
      <c r="F60" s="2" t="s">
        <v>128</v>
      </c>
    </row>
    <row r="61" spans="1:6" x14ac:dyDescent="0.25">
      <c r="A61" t="s">
        <v>129</v>
      </c>
      <c r="B61" s="19">
        <f>IFERROR(B22/B36,"")</f>
        <v>11.87</v>
      </c>
      <c r="C61" s="19">
        <f>IF(C36&gt;0,IFERROR(B22/C36,""),"")</f>
        <v>11.869556960308202</v>
      </c>
    </row>
    <row r="62" spans="1:6" x14ac:dyDescent="0.25">
      <c r="A62" t="s">
        <v>130</v>
      </c>
      <c r="B62" s="8">
        <f>IFERROR(B59/B7,"")</f>
        <v>29085</v>
      </c>
      <c r="C62" s="8">
        <f>IF(C59="","",IFERROR(C59/B7,""))</f>
        <v>28916.382200000004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3150000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3130915.9659634833</v>
      </c>
    </row>
    <row r="67" spans="1:2" x14ac:dyDescent="0.25">
      <c r="A67" s="22" t="s">
        <v>134</v>
      </c>
      <c r="B67" s="8">
        <f>IFERROR(MIN(B65,B66),"")</f>
        <v>3130915.9659634833</v>
      </c>
    </row>
    <row r="68" spans="1:2" x14ac:dyDescent="0.25">
      <c r="A68" t="s">
        <v>135</v>
      </c>
      <c r="B68" s="8">
        <f>IFERROR(B22-B67,"")</f>
        <v>2119084.0340365167</v>
      </c>
    </row>
    <row r="69" spans="1:2" x14ac:dyDescent="0.25">
      <c r="A69" t="s">
        <v>136</v>
      </c>
      <c r="B69" s="8">
        <f>IFERROR(-PMT(Assumptions!$B$22/12,Assumptions!$B$23*12,B67)*12,"")</f>
        <v>231331.05759999927</v>
      </c>
    </row>
    <row r="70" spans="1:2" x14ac:dyDescent="0.25">
      <c r="A70" t="s">
        <v>137</v>
      </c>
      <c r="B70" s="19">
        <f>IFERROR(C59/B69,"")</f>
        <v>1.2500000000000042</v>
      </c>
    </row>
    <row r="71" spans="1:2" x14ac:dyDescent="0.25">
      <c r="A71" t="s">
        <v>138</v>
      </c>
      <c r="B71" s="8">
        <f>IFERROR(C59-B69,"")</f>
        <v>57832.764400000771</v>
      </c>
    </row>
    <row r="72" spans="1:2" x14ac:dyDescent="0.25">
      <c r="A72" t="s">
        <v>139</v>
      </c>
      <c r="B72" s="18">
        <f>IFERROR(B71/B68,"")</f>
        <v>2.7291397354279805E-2</v>
      </c>
    </row>
    <row r="74" spans="1:2" x14ac:dyDescent="0.25">
      <c r="A74" s="2" t="s">
        <v>140</v>
      </c>
    </row>
  </sheetData>
  <hyperlinks>
    <hyperlink ref="A3" r:id="rId1" xr:uid="{DE36D1C9-CB78-4B8B-9536-32BB2EE47A4D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20 1524 Granville Ave</vt:lpstr>
      <vt:lpstr>'20 1524 Granville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2026-09-17T18:56:46Z</dcterms:created>
  <dcterms:modified xsi:type="dcterms:W3CDTF">2026-09-17T18:56:49Z</dcterms:modified>
</cp:coreProperties>
</file>