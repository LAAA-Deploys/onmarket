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F0D5D01-73B5-45F2-9160-6D7F56C89507}" xr6:coauthVersionLast="47" xr6:coauthVersionMax="47" xr10:uidLastSave="{00000000-0000-0000-0000-000000000000}"/>
  <bookViews>
    <workbookView xWindow="-120" yWindow="-120" windowWidth="29040" windowHeight="15720" activeTab="1" xr2:uid="{D429C6E4-8AB5-4937-A60D-620A6FB665FB}"/>
  </bookViews>
  <sheets>
    <sheet name="Assumptions" sheetId="1" r:id="rId1"/>
    <sheet name="33 1235-1241 S Beverly Glen Blv" sheetId="2" r:id="rId2"/>
  </sheets>
  <definedNames>
    <definedName name="_xlnm.Print_Area" localSheetId="1">'33 1235-1241 S Beverly Glen Blv'!$A$1:$N$78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0" i="2"/>
  <c r="B61" i="2" s="1"/>
  <c r="B56" i="2"/>
  <c r="B54" i="2"/>
  <c r="E53" i="2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E46" i="2"/>
  <c r="D46" i="2"/>
  <c r="C46" i="2"/>
  <c r="E45" i="2"/>
  <c r="D45" i="2"/>
  <c r="C45" i="2"/>
  <c r="B40" i="2"/>
  <c r="B39" i="2"/>
  <c r="B41" i="2" s="1"/>
  <c r="B55" i="2" s="1"/>
  <c r="B33" i="2"/>
  <c r="D32" i="2"/>
  <c r="E32" i="2" s="1"/>
  <c r="D31" i="2"/>
  <c r="E31" i="2" s="1"/>
  <c r="D30" i="2"/>
  <c r="E30" i="2" s="1"/>
  <c r="E33" i="2" s="1"/>
  <c r="C37" i="2" s="1"/>
  <c r="B24" i="2"/>
  <c r="B23" i="2"/>
  <c r="C39" i="2" l="1"/>
  <c r="C41" i="2" s="1"/>
  <c r="C47" i="2" s="1"/>
  <c r="D47" i="2" s="1"/>
  <c r="D53" i="2" s="1"/>
  <c r="C40" i="2"/>
  <c r="C62" i="2"/>
  <c r="C53" i="2"/>
  <c r="D33" i="2"/>
  <c r="C33" i="2" s="1"/>
  <c r="D54" i="2" l="1"/>
  <c r="C60" i="2"/>
  <c r="D55" i="2"/>
  <c r="C54" i="2"/>
  <c r="C55" i="2"/>
  <c r="C61" i="2" l="1"/>
  <c r="C63" i="2"/>
  <c r="B67" i="2"/>
  <c r="B68" i="2" s="1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<sst xmlns="http://schemas.openxmlformats.org/spreadsheetml/2006/main" count="152" uniqueCount="142">
  <si>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</si>
  <si>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</si>
  <si>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</si>
  <si>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</si>
  <si>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</si>
  <si>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</si>
  <si>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</si>
  <si>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</si>
  <si>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</si>
  <si>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</si>
  <si>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</si>
  <si>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</si>
  <si>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</si>
  <si>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</si>
  <si>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</si>
  <si>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</si>
  <si>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</si>
  <si>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</si>
  <si>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</si>
  <si>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</si>
  <si>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</si>
  <si>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</si>
  <si>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</si>
  <si>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</si>
  <si>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</si>
  <si>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</si>
  <si>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</si>
  <si>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</si>
  <si>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</si>
  <si>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</si>
  <si>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</si>
  <si>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</si>
  <si>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</si>
  <si>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</si>
  <si>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</si>
  <si>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</si>
  <si>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</si>
  <si>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</si>
  <si>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</si>
  <si>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</si>
  <si>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</si>
  <si>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</si>
  <si>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</si>
  <si>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</si>
  <si>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</si>
  <si>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</si>
  <si>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</si>
  <si>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1235-1241 S Beverly Glen Blvd</t>
  </si>
  <si>
    <t>Los Angeles, CA 90024  |  Westwood</t>
  </si>
  <si>
    <t>LoopNet listing</t>
  </si>
  <si>
    <t>Data pulled 9/17/2026 from LoopNet public listing</t>
  </si>
  <si>
    <t>NOTE: 50% occupied; cap 3.12%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</si>
  <si>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</si>
  <si>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</si>
  <si>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</si>
  <si>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</si>
  <si>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</si>
  <si>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</si>
  <si>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</si>
  <si>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</si>
  <si>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</si>
  <si>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Multiple residences</t>
  </si>
  <si>
    <t>Occupancy per listing</t>
  </si>
  <si>
    <t>50%</t>
  </si>
  <si>
    <t>APN</t>
  </si>
  <si>
    <t>Multiple</t>
  </si>
  <si>
    <t>Assessed value (current)</t>
  </si>
  <si>
    <t>Listing broker(s)</t>
  </si>
  <si>
    <t>Greg Blake, Jeffrey Golden</t>
  </si>
  <si>
    <t>Date on market</t>
  </si>
  <si>
    <t>7/22/2026</t>
  </si>
  <si>
    <t>Listing last updated</t>
  </si>
  <si>
    <t>8/28/2026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</si>
  <si>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</si>
  <si>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</si>
  <si>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</si>
  <si>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</si>
  <si>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</si>
  <si>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</si>
  <si>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</si>
  <si>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</si>
  <si>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</si>
  <si>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</si>
  <si>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</si>
  <si>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</si>
  <si>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</si>
  <si>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</si>
  <si>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1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</si>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</sst>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52E623C-8348-4F5A-9CA4-16758582EDA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35-1241-S-Beverly-Glen-Blvd-Los-Angeles-CA/414068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C7A1-92D9-43D0-9B0E-8D338A3CEF4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DFD2-25B2-4C88-A804-A3758BB13A3D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14</v>
      </c>
    </row>
    <row r="8" spans="1:3" x14ac:dyDescent="0.25">
      <c r="A8" t="s">
        <v>54</v>
      </c>
      <c r="B8" s="15">
        <v>11295</v>
      </c>
    </row>
    <row r="9" spans="1:3" x14ac:dyDescent="0.25">
      <c r="A9" t="s">
        <v>55</v>
      </c>
      <c r="B9" s="15">
        <v>15246</v>
      </c>
    </row>
    <row r="10" spans="1:3" x14ac:dyDescent="0.25">
      <c r="A10" t="s">
        <v>56</v>
      </c>
      <c r="B10" s="16">
        <v>0.35</v>
      </c>
    </row>
    <row r="11" spans="1:3" x14ac:dyDescent="0.25">
      <c r="A11" t="s">
        <v>57</v>
      </c>
      <c r="B11">
        <v>1941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7120705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8200000</v>
      </c>
    </row>
    <row r="23" spans="1:6" x14ac:dyDescent="0.25">
      <c r="A23" t="s">
        <v>75</v>
      </c>
      <c r="B23" s="8">
        <f>IFERROR(B22/B7,"")</f>
        <v>585714.28571428568</v>
      </c>
    </row>
    <row r="24" spans="1:6" x14ac:dyDescent="0.25">
      <c r="A24" t="s">
        <v>76</v>
      </c>
      <c r="B24" s="17">
        <f>IFERROR(B22/B8,"")</f>
        <v>725.98494909251883</v>
      </c>
    </row>
    <row r="25" spans="1:6" x14ac:dyDescent="0.25">
      <c r="A25" t="s">
        <v>77</v>
      </c>
      <c r="B25" s="18">
        <v>3.1199999999999999E-2</v>
      </c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6</v>
      </c>
      <c r="C30" s="4">
        <v>2100</v>
      </c>
      <c r="D30" s="8">
        <f>B30*C30</f>
        <v>12600</v>
      </c>
      <c r="E30" s="8">
        <f>D30*12</f>
        <v>151200</v>
      </c>
      <c r="F30" s="2" t="s">
        <v>86</v>
      </c>
    </row>
    <row r="31" spans="1:6" x14ac:dyDescent="0.25">
      <c r="A31" t="s">
        <v>87</v>
      </c>
      <c r="B31" s="15">
        <v>7</v>
      </c>
      <c r="C31" s="4">
        <v>3650</v>
      </c>
      <c r="D31" s="8">
        <f>B31*C31</f>
        <v>25550</v>
      </c>
      <c r="E31" s="8">
        <f>D31*12</f>
        <v>306600</v>
      </c>
      <c r="F31" s="2" t="s">
        <v>86</v>
      </c>
    </row>
    <row r="32" spans="1:6" x14ac:dyDescent="0.25">
      <c r="A32" t="s">
        <v>88</v>
      </c>
      <c r="B32" s="15">
        <v>1</v>
      </c>
      <c r="C32" s="4">
        <v>6500</v>
      </c>
      <c r="D32" s="8">
        <f>B32*C32</f>
        <v>6500</v>
      </c>
      <c r="E32" s="8">
        <f>D32*12</f>
        <v>78000</v>
      </c>
      <c r="F32" s="2" t="s">
        <v>86</v>
      </c>
    </row>
    <row r="33" spans="1:6" x14ac:dyDescent="0.25">
      <c r="A33" s="21" t="s">
        <v>89</v>
      </c>
      <c r="B33" s="22">
        <f>SUM(B30:B32)</f>
        <v>14</v>
      </c>
      <c r="C33" s="23">
        <f>IFERROR(D33/B33,"")</f>
        <v>3189.2857142857142</v>
      </c>
      <c r="D33" s="23">
        <f>SUM(D30:D32)</f>
        <v>44650</v>
      </c>
      <c r="E33" s="23">
        <f>SUM(E30:E32)</f>
        <v>535800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/>
      <c r="C37" s="8">
        <f>E33</f>
        <v>535800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0</v>
      </c>
      <c r="C39" s="8">
        <f>C37+C38</f>
        <v>535800</v>
      </c>
    </row>
    <row r="40" spans="1:6" x14ac:dyDescent="0.25">
      <c r="A40" t="s">
        <v>98</v>
      </c>
      <c r="B40" s="8">
        <f>-B37*0.03</f>
        <v>0</v>
      </c>
      <c r="C40" s="8">
        <f>-C37*Assumptions!$B$3</f>
        <v>-16074</v>
      </c>
      <c r="F40" s="2" t="s">
        <v>99</v>
      </c>
    </row>
    <row r="41" spans="1:6" x14ac:dyDescent="0.25">
      <c r="A41" s="21" t="s">
        <v>100</v>
      </c>
      <c r="B41" s="23">
        <f>B39+B40</f>
        <v>0</v>
      </c>
      <c r="C41" s="23">
        <f>C39+C40</f>
        <v>519726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102500</v>
      </c>
      <c r="D45" s="25">
        <f>C45</f>
        <v>102500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14095</v>
      </c>
      <c r="D46" s="25">
        <f t="shared" ref="D46:D52" si="1">IF(ISNUMBER(B46),MAX(B46,C46),C46)</f>
        <v>14095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25986.300000000003</v>
      </c>
      <c r="D47" s="25">
        <f t="shared" si="1"/>
        <v>25986.300000000003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16800</v>
      </c>
      <c r="D48" s="25">
        <f t="shared" si="1"/>
        <v>16800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21000</v>
      </c>
      <c r="D49" s="25">
        <f t="shared" si="1"/>
        <v>21000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5600</v>
      </c>
      <c r="D50" s="25">
        <f t="shared" si="1"/>
        <v>5600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3500</v>
      </c>
      <c r="D51" s="25">
        <f t="shared" si="1"/>
        <v>3500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4200</v>
      </c>
      <c r="D52" s="25">
        <f t="shared" si="1"/>
        <v>4200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1"/>
      <c r="C53" s="23">
        <f>SUM(C45:C52)</f>
        <v>193681.3</v>
      </c>
      <c r="D53" s="23">
        <f>SUM(D45:D52)</f>
        <v>193681.3</v>
      </c>
      <c r="E53" s="23" t="str">
        <f t="shared" si="0"/>
        <v/>
      </c>
      <c r="F53" s="2" t="s">
        <v>121</v>
      </c>
    </row>
    <row r="54" spans="1:6" x14ac:dyDescent="0.25">
      <c r="A54" t="s">
        <v>122</v>
      </c>
      <c r="B54" s="8">
        <f>IFERROR(B53/B7,"")</f>
        <v>0</v>
      </c>
      <c r="C54" s="8">
        <f>IFERROR(C53/B7,"")</f>
        <v>13834.378571428571</v>
      </c>
      <c r="D54" s="8">
        <f>IFERROR(D53/B7,"")</f>
        <v>13834.378571428571</v>
      </c>
    </row>
    <row r="55" spans="1:6" x14ac:dyDescent="0.25">
      <c r="A55" t="s">
        <v>123</v>
      </c>
      <c r="B55" s="18" t="str">
        <f>IFERROR(B53/B41,"")</f>
        <v/>
      </c>
      <c r="C55" s="18">
        <f>IFERROR(C53/C41,"")</f>
        <v>0.37266040182711657</v>
      </c>
      <c r="D55" s="18">
        <f>IF(C37&gt;0,IFERROR(D53/C41,""),"")</f>
        <v>0.37266040182711657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B22*B25</f>
        <v>255840</v>
      </c>
      <c r="C60" s="23">
        <f>IF(C37&gt;0,C41-D53,"")</f>
        <v>326044.7</v>
      </c>
      <c r="F60" s="2" t="s">
        <v>127</v>
      </c>
    </row>
    <row r="61" spans="1:6" x14ac:dyDescent="0.25">
      <c r="A61" s="21" t="s">
        <v>128</v>
      </c>
      <c r="B61" s="18">
        <f>IFERROR(B60/B22,"")</f>
        <v>3.1199999999999999E-2</v>
      </c>
      <c r="C61" s="18">
        <f>IF(C60="","",IFERROR(C60/B22,""))</f>
        <v>3.9761548780487807E-2</v>
      </c>
      <c r="F61" s="2" t="s">
        <v>129</v>
      </c>
    </row>
    <row r="62" spans="1:6" x14ac:dyDescent="0.25">
      <c r="A62" t="s">
        <v>130</v>
      </c>
      <c r="B62" s="19" t="str">
        <f>IFERROR(B22/B37,"")</f>
        <v/>
      </c>
      <c r="C62" s="19">
        <f>IF(C37&gt;0,IFERROR(B22/C37,""),"")</f>
        <v>15.304217991787981</v>
      </c>
    </row>
    <row r="63" spans="1:6" x14ac:dyDescent="0.25">
      <c r="A63" t="s">
        <v>131</v>
      </c>
      <c r="B63" s="8">
        <f>IFERROR(B60/B7,"")</f>
        <v>18274.285714285714</v>
      </c>
      <c r="C63" s="8">
        <f>IF(C60="","",IFERROR(C60/B7,""))</f>
        <v>23288.907142857144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4920000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3530242.9943942782</v>
      </c>
    </row>
    <row r="68" spans="1:6" x14ac:dyDescent="0.25">
      <c r="A68" s="21" t="s">
        <v>135</v>
      </c>
      <c r="B68" s="8">
        <f>IFERROR(MIN(B66,B67),"")</f>
        <v>3530242.9943942782</v>
      </c>
    </row>
    <row r="69" spans="1:6" x14ac:dyDescent="0.25">
      <c r="A69" t="s">
        <v>136</v>
      </c>
      <c r="B69" s="8">
        <f>IFERROR(B22-B68,"")</f>
        <v>4669757.0056057218</v>
      </c>
    </row>
    <row r="70" spans="1:6" x14ac:dyDescent="0.25">
      <c r="A70" t="s">
        <v>137</v>
      </c>
      <c r="B70" s="8">
        <f>IFERROR(-PMT(Assumptions!$B$22/12,Assumptions!$B$23*12,B68)*12,"")</f>
        <v>260835.75999999919</v>
      </c>
    </row>
    <row r="71" spans="1:6" x14ac:dyDescent="0.25">
      <c r="A71" t="s">
        <v>138</v>
      </c>
      <c r="B71" s="19">
        <f>IFERROR(C60/B70,"")</f>
        <v>1.250000000000004</v>
      </c>
    </row>
    <row r="72" spans="1:6" x14ac:dyDescent="0.25">
      <c r="A72" t="s">
        <v>139</v>
      </c>
      <c r="B72" s="8">
        <f>IFERROR(C60-B70,"")</f>
        <v>65208.940000000817</v>
      </c>
    </row>
    <row r="73" spans="1:6" x14ac:dyDescent="0.25">
      <c r="A73" t="s">
        <v>140</v>
      </c>
      <c r="B73" s="18">
        <f>IFERROR(B72/B69,"")</f>
        <v>1.3964097044390528E-2</v>
      </c>
    </row>
    <row r="75" spans="1:6" x14ac:dyDescent="0.25">
      <c r="A75" s="2" t="s">
        <v>141</v>
      </c>
    </row>
  </sheetData>
  <hyperlinks>
    <hyperlink ref="A3" r:id="rId1" xr:uid="{ADFCA2A2-B5EA-4AB0-9429-7F5E541490FF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33 1235-1241 S Beverly Glen Blv</vt:lpstr>
      <vt:lpstr>'33 1235-1241 S Beverly Glen Blv'!Print_Area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2026-09-17T19:27:06Z</dcterms:created>
  <dcterms:modified xsi:type="dcterms:W3CDTF">2026-09-17T19:27:08Z</dcterms:modified>
</cp:coreProperties>
</file>