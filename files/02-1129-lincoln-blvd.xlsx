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4306104-BA33-4DBF-8966-B49539C72A26}" xr6:coauthVersionLast="47" xr6:coauthVersionMax="47" xr10:uidLastSave="{00000000-0000-0000-0000-000000000000}"/>
  <bookViews>
    <workbookView xWindow="-120" yWindow="-120" windowWidth="29040" windowHeight="15720" activeTab="1" xr2:uid="{EB2ABEBF-9BD7-4777-A945-9F1A37F8F9EA}"/>
  </bookViews>
  <sheets>
    <sheet name="Assumptions" sheetId="1" r:id="rId1"/>
    <sheet name="02 1129 Lincoln Blvd" sheetId="2" r:id="rId2"/>
  </sheets>
  <definedNames>
    <definedName name="_xlnm.Print_Area" localSheetId="1">'02 1129 Lincoln Blvd'!$A$1:$N$78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8" i="2" l="1"/>
  <c r="B64" i="2"/>
  <c r="E54" i="2"/>
  <c r="C54" i="2"/>
  <c r="D54" i="2" s="1"/>
  <c r="E53" i="2"/>
  <c r="C53" i="2"/>
  <c r="D53" i="2" s="1"/>
  <c r="E52" i="2"/>
  <c r="C52" i="2"/>
  <c r="D52" i="2" s="1"/>
  <c r="E51" i="2"/>
  <c r="C51" i="2"/>
  <c r="D51" i="2" s="1"/>
  <c r="E50" i="2"/>
  <c r="C50" i="2"/>
  <c r="D50" i="2" s="1"/>
  <c r="E49" i="2"/>
  <c r="E48" i="2"/>
  <c r="C48" i="2"/>
  <c r="D48" i="2" s="1"/>
  <c r="E47" i="2"/>
  <c r="C47" i="2"/>
  <c r="B42" i="2"/>
  <c r="B41" i="2"/>
  <c r="B43" i="2" s="1"/>
  <c r="B35" i="2"/>
  <c r="D34" i="2"/>
  <c r="E34" i="2" s="1"/>
  <c r="D33" i="2"/>
  <c r="E33" i="2" s="1"/>
  <c r="D32" i="2"/>
  <c r="E32" i="2" s="1"/>
  <c r="D31" i="2"/>
  <c r="E31" i="2" s="1"/>
  <c r="D30" i="2"/>
  <c r="E30" i="2" s="1"/>
  <c r="B24" i="2"/>
  <c r="B23" i="2"/>
  <c r="B62" i="2" l="1"/>
  <c r="B55" i="2"/>
  <c r="E35" i="2"/>
  <c r="C39" i="2" s="1"/>
  <c r="D35" i="2"/>
  <c r="C35" i="2" s="1"/>
  <c r="D47" i="2"/>
  <c r="C41" i="2" l="1"/>
  <c r="C64" i="2"/>
  <c r="C42" i="2"/>
  <c r="B57" i="2"/>
  <c r="B56" i="2"/>
  <c r="B63" i="2"/>
  <c r="B65" i="2"/>
  <c r="C43" i="2" l="1"/>
  <c r="C49" i="2" l="1"/>
  <c r="D49" i="2" l="1"/>
  <c r="D55" i="2" s="1"/>
  <c r="C55" i="2"/>
  <c r="C57" i="2" l="1"/>
  <c r="C56" i="2"/>
  <c r="D56" i="2"/>
  <c r="D57" i="2"/>
  <c r="E55" i="2"/>
  <c r="B58" i="2"/>
  <c r="C62" i="2"/>
  <c r="C63" i="2" l="1"/>
  <c r="C65" i="2"/>
  <c r="B69" i="2"/>
  <c r="B70" i="2" s="1"/>
  <c r="B72" i="2" l="1"/>
  <c r="B71" i="2"/>
  <c r="B74" i="2" l="1"/>
  <c r="B75" i="2" s="1"/>
  <c r="B73" i="2"/>
</calcChain>
</file>

<file path=xl/sharedStrings.xml><?xml version="1.0" encoding="utf-8"?>
<sst xmlns="http://schemas.openxmlformats.org/spreadsheetml/2006/main" count="154" uniqueCount="142">
  <si>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</si>
  <si>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</si>
  <si>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</si>
  <si>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</si>
  <si>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</si>
  <si>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</si>
  <si>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</si>
  <si>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</si>
  <si>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</si>
  <si>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</si>
  <si>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</si>
  <si>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</si>
  <si>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</si>
  <si>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</si>
  <si>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</si>
  <si>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</si>
  <si>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</si>
  <si>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</si>
  <si>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</si>
  <si>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</si>
  <si>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</si>
  <si>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</si>
  <si>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</si>
  <si>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</si>
  <si>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</si>
  <si>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</si>
  <si>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</si>
  <si>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</si>
  <si>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</si>
  <si>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</si>
  <si>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</si>
  <si>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</si>
  <si>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</si>
  <si>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</si>
  <si>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</si>
  <si>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</si>
  <si>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</si>
  <si>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</si>
  <si>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</si>
  <si>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</si>
  <si>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</si>
  <si>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</si>
  <si>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</si>
  <si>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</si>
  <si>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</si>
  <si>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</si>
  <si>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</si>
  <si>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1129 Lincoln Blvd</t>
  </si>
  <si>
    <t>Santa Monica, CA 90403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</si>
  <si>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</si>
  <si>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</si>
  <si>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</si>
  <si>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</si>
  <si>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</si>
  <si>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</si>
  <si>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</si>
  <si>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</si>
  <si>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</si>
  <si>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1</t>
  </si>
  <si>
    <t>Zoning</t>
  </si>
  <si>
    <t>SMR3AY - Santa Monica R2 - Multi-Residential</t>
  </si>
  <si>
    <t>Occupancy per listing</t>
  </si>
  <si>
    <t>100%</t>
  </si>
  <si>
    <t>APN</t>
  </si>
  <si>
    <t>4281-035-016</t>
  </si>
  <si>
    <t>Assessed value (current)</t>
  </si>
  <si>
    <t>Listing broker(s)</t>
  </si>
  <si>
    <t>Stephen Lampe</t>
  </si>
  <si>
    <t>Date on market</t>
  </si>
  <si>
    <t>3/9/2026</t>
  </si>
  <si>
    <t>Listing last updated</t>
  </si>
  <si>
    <t>8/18/2026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</si>
  <si>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</si>
  <si>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</si>
  <si>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</si>
  <si>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</si>
  <si>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</si>
  <si>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</si>
  <si>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</si>
  <si>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</si>
  <si>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</si>
  <si>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</si>
  <si>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</si>
  <si>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</si>
  <si>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</si>
  <si>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</t>
  </si>
  <si>
    <t>LoopNet published avg rent by unit type</t>
  </si>
  <si>
    <t>2 Bd / 1.5 Ba</t>
  </si>
  <si>
    <t>2 Bd / 1 Ba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</si>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</sst>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43AF950-E5E0-4AB5-8DC3-0EF23509C64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29-Lincoln-Blvd-Santa-Monica-CA/397164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35BD-617F-4E4E-BA6E-CC256596021F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031D-B4B1-4B06-B44F-FF47FC6F2DFD}">
  <sheetPr>
    <pageSetUpPr fitToPage="1"/>
  </sheetPr>
  <dimension ref="A1:F77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7377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1956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787301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3100000</v>
      </c>
    </row>
    <row r="23" spans="1:6" x14ac:dyDescent="0.25">
      <c r="A23" t="s">
        <v>74</v>
      </c>
      <c r="B23" s="8">
        <f>IFERROR(B22/B7,"")</f>
        <v>310000</v>
      </c>
    </row>
    <row r="24" spans="1:6" x14ac:dyDescent="0.25">
      <c r="A24" t="s">
        <v>75</v>
      </c>
      <c r="B24" s="16">
        <f>IFERROR(B22/B8,"")</f>
        <v>420.2250237223804</v>
      </c>
    </row>
    <row r="25" spans="1:6" x14ac:dyDescent="0.25">
      <c r="A25" t="s">
        <v>76</v>
      </c>
      <c r="B25" s="17">
        <v>6.3200000000000006E-2</v>
      </c>
    </row>
    <row r="26" spans="1:6" x14ac:dyDescent="0.25">
      <c r="A26" t="s">
        <v>77</v>
      </c>
      <c r="B26" s="18">
        <v>11.16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1</v>
      </c>
      <c r="C30" s="4">
        <v>2296</v>
      </c>
      <c r="D30" s="8">
        <f>B30*C30</f>
        <v>2296</v>
      </c>
      <c r="E30" s="8">
        <f>D30*12</f>
        <v>27552</v>
      </c>
      <c r="F30" s="2" t="s">
        <v>86</v>
      </c>
    </row>
    <row r="31" spans="1:6" x14ac:dyDescent="0.25">
      <c r="A31" t="s">
        <v>87</v>
      </c>
      <c r="B31" s="14">
        <v>1</v>
      </c>
      <c r="C31" s="4">
        <v>2840</v>
      </c>
      <c r="D31" s="8">
        <f>B31*C31</f>
        <v>2840</v>
      </c>
      <c r="E31" s="8">
        <f>D31*12</f>
        <v>34080</v>
      </c>
      <c r="F31" s="2" t="s">
        <v>86</v>
      </c>
    </row>
    <row r="32" spans="1:6" x14ac:dyDescent="0.25">
      <c r="A32" t="s">
        <v>88</v>
      </c>
      <c r="B32" s="14">
        <v>1</v>
      </c>
      <c r="C32" s="4">
        <v>2995</v>
      </c>
      <c r="D32" s="8">
        <f>B32*C32</f>
        <v>2995</v>
      </c>
      <c r="E32" s="8">
        <f>D32*12</f>
        <v>35940</v>
      </c>
      <c r="F32" s="2" t="s">
        <v>86</v>
      </c>
    </row>
    <row r="33" spans="1:6" x14ac:dyDescent="0.25">
      <c r="A33" t="s">
        <v>89</v>
      </c>
      <c r="B33" s="14">
        <v>5</v>
      </c>
      <c r="C33" s="4">
        <v>2300</v>
      </c>
      <c r="D33" s="8">
        <f>B33*C33</f>
        <v>11500</v>
      </c>
      <c r="E33" s="8">
        <f>D33*12</f>
        <v>138000</v>
      </c>
      <c r="F33" s="2" t="s">
        <v>86</v>
      </c>
    </row>
    <row r="34" spans="1:6" x14ac:dyDescent="0.25">
      <c r="A34" t="s">
        <v>34</v>
      </c>
      <c r="B34" s="14">
        <v>2</v>
      </c>
      <c r="C34" s="4">
        <v>1922</v>
      </c>
      <c r="D34" s="8">
        <f>B34*C34</f>
        <v>3844</v>
      </c>
      <c r="E34" s="8">
        <f>D34*12</f>
        <v>46128</v>
      </c>
      <c r="F34" s="2" t="s">
        <v>86</v>
      </c>
    </row>
    <row r="35" spans="1:6" x14ac:dyDescent="0.25">
      <c r="A35" s="20" t="s">
        <v>90</v>
      </c>
      <c r="B35" s="21">
        <f>SUM(B30:B34)</f>
        <v>10</v>
      </c>
      <c r="C35" s="22">
        <f>IFERROR(D35/B35,"")</f>
        <v>2347.5</v>
      </c>
      <c r="D35" s="22">
        <f>SUM(D30:D34)</f>
        <v>23475</v>
      </c>
      <c r="E35" s="22">
        <f>SUM(E30:E34)</f>
        <v>281700</v>
      </c>
    </row>
    <row r="37" spans="1:6" x14ac:dyDescent="0.25">
      <c r="A37" s="12" t="s">
        <v>91</v>
      </c>
      <c r="B37" s="13"/>
      <c r="C37" s="13"/>
      <c r="D37" s="13"/>
      <c r="E37" s="13"/>
      <c r="F37" s="13"/>
    </row>
    <row r="38" spans="1:6" x14ac:dyDescent="0.25">
      <c r="A38" s="23"/>
      <c r="B38" s="23" t="s">
        <v>92</v>
      </c>
      <c r="C38" s="23" t="s">
        <v>93</v>
      </c>
      <c r="D38" s="23"/>
      <c r="E38" s="23"/>
      <c r="F38" s="23" t="s">
        <v>94</v>
      </c>
    </row>
    <row r="39" spans="1:6" x14ac:dyDescent="0.25">
      <c r="A39" t="s">
        <v>95</v>
      </c>
      <c r="B39" s="8">
        <v>277777.77777777781</v>
      </c>
      <c r="C39" s="8">
        <f>E35</f>
        <v>281700</v>
      </c>
      <c r="F39" s="2" t="s">
        <v>96</v>
      </c>
    </row>
    <row r="40" spans="1:6" x14ac:dyDescent="0.25">
      <c r="A40" t="s">
        <v>97</v>
      </c>
      <c r="B40" s="8">
        <v>0</v>
      </c>
      <c r="C40" s="4">
        <v>0</v>
      </c>
    </row>
    <row r="41" spans="1:6" x14ac:dyDescent="0.25">
      <c r="A41" s="20" t="s">
        <v>98</v>
      </c>
      <c r="B41" s="8">
        <f>B39+B40</f>
        <v>277777.77777777781</v>
      </c>
      <c r="C41" s="8">
        <f>C39+C40</f>
        <v>281700</v>
      </c>
    </row>
    <row r="42" spans="1:6" x14ac:dyDescent="0.25">
      <c r="A42" t="s">
        <v>99</v>
      </c>
      <c r="B42" s="8">
        <f>-B39*0.03</f>
        <v>-8333.3333333333339</v>
      </c>
      <c r="C42" s="8">
        <f>-C39*Assumptions!$B$3</f>
        <v>-8451</v>
      </c>
      <c r="F42" s="2" t="s">
        <v>100</v>
      </c>
    </row>
    <row r="43" spans="1:6" x14ac:dyDescent="0.25">
      <c r="A43" s="20" t="s">
        <v>101</v>
      </c>
      <c r="B43" s="22">
        <f>B41+B42</f>
        <v>269444.4444444445</v>
      </c>
      <c r="C43" s="22">
        <f>C41+C42</f>
        <v>273249</v>
      </c>
    </row>
    <row r="45" spans="1:6" x14ac:dyDescent="0.25">
      <c r="A45" s="12" t="s">
        <v>102</v>
      </c>
      <c r="B45" s="13"/>
      <c r="C45" s="13"/>
      <c r="D45" s="13"/>
      <c r="E45" s="13"/>
      <c r="F45" s="13"/>
    </row>
    <row r="46" spans="1:6" x14ac:dyDescent="0.25">
      <c r="A46" s="23" t="s">
        <v>103</v>
      </c>
      <c r="B46" s="23" t="s">
        <v>92</v>
      </c>
      <c r="C46" s="23" t="s">
        <v>104</v>
      </c>
      <c r="D46" s="23" t="s">
        <v>93</v>
      </c>
      <c r="E46" s="23" t="s">
        <v>105</v>
      </c>
      <c r="F46" s="23" t="s">
        <v>94</v>
      </c>
    </row>
    <row r="47" spans="1:6" x14ac:dyDescent="0.25">
      <c r="A47" t="s">
        <v>106</v>
      </c>
      <c r="B47" s="8"/>
      <c r="C47" s="8">
        <f>B22*Assumptions!$B$16</f>
        <v>35650</v>
      </c>
      <c r="D47" s="24">
        <f>C47</f>
        <v>35650</v>
      </c>
      <c r="E47" s="8" t="str">
        <f t="shared" ref="E47:E55" si="0">IF(ISNUMBER(B47),D47-B47,"")</f>
        <v/>
      </c>
      <c r="F47" s="2" t="s">
        <v>107</v>
      </c>
    </row>
    <row r="48" spans="1:6" x14ac:dyDescent="0.25">
      <c r="A48" t="s">
        <v>108</v>
      </c>
      <c r="B48" s="8"/>
      <c r="C48" s="8">
        <f>B7*Assumptions!$B$5+B8*Assumptions!$B$6</f>
        <v>9377</v>
      </c>
      <c r="D48" s="24">
        <f t="shared" ref="D48:D54" si="1">IF(ISNUMBER(B48),MAX(B48,C48),C48)</f>
        <v>9377</v>
      </c>
      <c r="E48" s="8" t="str">
        <f t="shared" si="0"/>
        <v/>
      </c>
      <c r="F48" s="2" t="s">
        <v>109</v>
      </c>
    </row>
    <row r="49" spans="1:6" x14ac:dyDescent="0.25">
      <c r="A49" t="s">
        <v>110</v>
      </c>
      <c r="B49" s="8"/>
      <c r="C49" s="8">
        <f>C43*Assumptions!$B$4</f>
        <v>13662.45</v>
      </c>
      <c r="D49" s="24">
        <f t="shared" si="1"/>
        <v>13662.45</v>
      </c>
      <c r="E49" s="8" t="str">
        <f t="shared" si="0"/>
        <v/>
      </c>
      <c r="F49" s="2" t="s">
        <v>111</v>
      </c>
    </row>
    <row r="50" spans="1:6" x14ac:dyDescent="0.25">
      <c r="A50" t="s">
        <v>112</v>
      </c>
      <c r="B50" s="8"/>
      <c r="C50" s="8">
        <f>B7*Assumptions!$B$7</f>
        <v>12000</v>
      </c>
      <c r="D50" s="24">
        <f t="shared" si="1"/>
        <v>12000</v>
      </c>
      <c r="E50" s="8" t="str">
        <f t="shared" si="0"/>
        <v/>
      </c>
      <c r="F50" s="2" t="s">
        <v>113</v>
      </c>
    </row>
    <row r="51" spans="1:6" x14ac:dyDescent="0.25">
      <c r="A51" t="s">
        <v>114</v>
      </c>
      <c r="B51" s="8"/>
      <c r="C51" s="8">
        <f>B7*Assumptions!$B$10</f>
        <v>18000</v>
      </c>
      <c r="D51" s="24">
        <f t="shared" si="1"/>
        <v>18000</v>
      </c>
      <c r="E51" s="8" t="str">
        <f t="shared" si="0"/>
        <v/>
      </c>
      <c r="F51" s="2" t="s">
        <v>115</v>
      </c>
    </row>
    <row r="52" spans="1:6" x14ac:dyDescent="0.25">
      <c r="A52" t="s">
        <v>116</v>
      </c>
      <c r="B52" s="8"/>
      <c r="C52" s="8">
        <f>B7*Assumptions!$B$12</f>
        <v>4000</v>
      </c>
      <c r="D52" s="24">
        <f t="shared" si="1"/>
        <v>4000</v>
      </c>
      <c r="E52" s="8" t="str">
        <f t="shared" si="0"/>
        <v/>
      </c>
      <c r="F52" s="2" t="s">
        <v>117</v>
      </c>
    </row>
    <row r="53" spans="1:6" x14ac:dyDescent="0.25">
      <c r="A53" t="s">
        <v>118</v>
      </c>
      <c r="B53" s="8"/>
      <c r="C53" s="8">
        <f>B7*Assumptions!$B$13</f>
        <v>2500</v>
      </c>
      <c r="D53" s="24">
        <f t="shared" si="1"/>
        <v>2500</v>
      </c>
      <c r="E53" s="8" t="str">
        <f t="shared" si="0"/>
        <v/>
      </c>
      <c r="F53" s="2" t="s">
        <v>119</v>
      </c>
    </row>
    <row r="54" spans="1:6" x14ac:dyDescent="0.25">
      <c r="A54" t="s">
        <v>120</v>
      </c>
      <c r="B54" s="8"/>
      <c r="C54" s="8">
        <f>B7*Assumptions!$B$14</f>
        <v>3000</v>
      </c>
      <c r="D54" s="24">
        <f t="shared" si="1"/>
        <v>3000</v>
      </c>
      <c r="E54" s="8" t="str">
        <f t="shared" si="0"/>
        <v/>
      </c>
      <c r="F54" s="2" t="s">
        <v>117</v>
      </c>
    </row>
    <row r="55" spans="1:6" x14ac:dyDescent="0.25">
      <c r="A55" s="20" t="s">
        <v>121</v>
      </c>
      <c r="B55" s="22">
        <f>B43-B22*B25</f>
        <v>73524.444444444467</v>
      </c>
      <c r="C55" s="22">
        <f>SUM(C47:C54)</f>
        <v>98189.45</v>
      </c>
      <c r="D55" s="22">
        <f>SUM(D47:D54)</f>
        <v>98189.45</v>
      </c>
      <c r="E55" s="22">
        <f t="shared" si="0"/>
        <v>24665.00555555553</v>
      </c>
      <c r="F55" s="2" t="s">
        <v>122</v>
      </c>
    </row>
    <row r="56" spans="1:6" x14ac:dyDescent="0.25">
      <c r="A56" t="s">
        <v>123</v>
      </c>
      <c r="B56" s="8">
        <f>IFERROR(B55/B7,"")</f>
        <v>7352.4444444444471</v>
      </c>
      <c r="C56" s="8">
        <f>IFERROR(C55/B7,"")</f>
        <v>9818.9449999999997</v>
      </c>
      <c r="D56" s="8">
        <f>IFERROR(D55/B7,"")</f>
        <v>9818.9449999999997</v>
      </c>
    </row>
    <row r="57" spans="1:6" x14ac:dyDescent="0.25">
      <c r="A57" t="s">
        <v>124</v>
      </c>
      <c r="B57" s="17">
        <f>IFERROR(B55/B43,"")</f>
        <v>0.27287422680412377</v>
      </c>
      <c r="C57" s="17">
        <f>IFERROR(C55/C43,"")</f>
        <v>0.35934056483280818</v>
      </c>
      <c r="D57" s="17">
        <f>IF(C39&gt;0,IFERROR(D55/C43,""),"")</f>
        <v>0.35934056483280818</v>
      </c>
    </row>
    <row r="58" spans="1:6" x14ac:dyDescent="0.25">
      <c r="A58" s="20" t="s">
        <v>125</v>
      </c>
      <c r="B58" s="25" t="str">
        <f>IF(ISNUMBER(B55),IF(D55&gt;B55*(1+Assumptions!$B$24),"OM EXPENSES LIGHT","OM expenses reasonable"),"OM expenses not published")</f>
        <v>OM EXPENSES LIGHT</v>
      </c>
    </row>
    <row r="60" spans="1:6" x14ac:dyDescent="0.25">
      <c r="A60" s="12" t="s">
        <v>126</v>
      </c>
      <c r="B60" s="13"/>
      <c r="C60" s="13"/>
      <c r="D60" s="13"/>
      <c r="E60" s="13"/>
      <c r="F60" s="13"/>
    </row>
    <row r="61" spans="1:6" x14ac:dyDescent="0.25">
      <c r="A61" s="23"/>
      <c r="B61" s="23" t="s">
        <v>92</v>
      </c>
      <c r="C61" s="23" t="s">
        <v>93</v>
      </c>
      <c r="D61" s="23"/>
      <c r="E61" s="23"/>
      <c r="F61" s="23" t="s">
        <v>94</v>
      </c>
    </row>
    <row r="62" spans="1:6" x14ac:dyDescent="0.25">
      <c r="A62" s="20" t="s">
        <v>127</v>
      </c>
      <c r="B62" s="22">
        <f>B43-B55</f>
        <v>195920.00000000003</v>
      </c>
      <c r="C62" s="22">
        <f>IF(C39&gt;0,C43-D55,"")</f>
        <v>175059.55</v>
      </c>
    </row>
    <row r="63" spans="1:6" x14ac:dyDescent="0.25">
      <c r="A63" s="20" t="s">
        <v>128</v>
      </c>
      <c r="B63" s="17">
        <f>IFERROR(B62/B22,"")</f>
        <v>6.3200000000000006E-2</v>
      </c>
      <c r="C63" s="17">
        <f>IF(C62="","",IFERROR(C62/B22,""))</f>
        <v>5.6470822580645161E-2</v>
      </c>
      <c r="F63" s="2" t="s">
        <v>129</v>
      </c>
    </row>
    <row r="64" spans="1:6" x14ac:dyDescent="0.25">
      <c r="A64" t="s">
        <v>130</v>
      </c>
      <c r="B64" s="18">
        <f>IFERROR(B22/B39,"")</f>
        <v>11.159999999999998</v>
      </c>
      <c r="C64" s="18">
        <f>IF(C39&gt;0,IFERROR(B22/C39,""),"")</f>
        <v>11.004614838480654</v>
      </c>
    </row>
    <row r="65" spans="1:6" x14ac:dyDescent="0.25">
      <c r="A65" t="s">
        <v>131</v>
      </c>
      <c r="B65" s="8">
        <f>IFERROR(B62/B7,"")</f>
        <v>19592.000000000004</v>
      </c>
      <c r="C65" s="8">
        <f>IF(C62="","",IFERROR(C62/B7,""))</f>
        <v>17505.954999999998</v>
      </c>
    </row>
    <row r="67" spans="1:6" x14ac:dyDescent="0.25">
      <c r="A67" s="12" t="s">
        <v>132</v>
      </c>
      <c r="B67" s="13"/>
      <c r="C67" s="13"/>
      <c r="D67" s="13"/>
      <c r="E67" s="13"/>
      <c r="F67" s="13"/>
    </row>
    <row r="68" spans="1:6" x14ac:dyDescent="0.25">
      <c r="A68" t="s">
        <v>133</v>
      </c>
      <c r="B68" s="8">
        <f>IFERROR(B22*Assumptions!$B$20,"")</f>
        <v>1860000</v>
      </c>
    </row>
    <row r="69" spans="1:6" x14ac:dyDescent="0.25">
      <c r="A69" t="s">
        <v>134</v>
      </c>
      <c r="B69" s="8">
        <f>IF(C62="","",IFERROR(PV(Assumptions!$B$22/12,Assumptions!$B$23*12,-C62/Assumptions!$B$21/12),""))</f>
        <v>1895454.0588738746</v>
      </c>
    </row>
    <row r="70" spans="1:6" x14ac:dyDescent="0.25">
      <c r="A70" s="20" t="s">
        <v>135</v>
      </c>
      <c r="B70" s="8">
        <f>IFERROR(MIN(B68,B69),"")</f>
        <v>1860000</v>
      </c>
    </row>
    <row r="71" spans="1:6" x14ac:dyDescent="0.25">
      <c r="A71" t="s">
        <v>136</v>
      </c>
      <c r="B71" s="8">
        <f>IFERROR(B22-B70,"")</f>
        <v>1240000</v>
      </c>
    </row>
    <row r="72" spans="1:6" x14ac:dyDescent="0.25">
      <c r="A72" t="s">
        <v>137</v>
      </c>
      <c r="B72" s="8">
        <f>IFERROR(-PMT(Assumptions!$B$22/12,Assumptions!$B$23*12,B70)*12,"")</f>
        <v>137428.07913517061</v>
      </c>
    </row>
    <row r="73" spans="1:6" x14ac:dyDescent="0.25">
      <c r="A73" t="s">
        <v>138</v>
      </c>
      <c r="B73" s="18">
        <f>IFERROR(C62/B72,"")</f>
        <v>1.2738266524690056</v>
      </c>
    </row>
    <row r="74" spans="1:6" x14ac:dyDescent="0.25">
      <c r="A74" t="s">
        <v>139</v>
      </c>
      <c r="B74" s="8">
        <f>IFERROR(C62-B72,"")</f>
        <v>37631.470864829374</v>
      </c>
    </row>
    <row r="75" spans="1:6" x14ac:dyDescent="0.25">
      <c r="A75" t="s">
        <v>140</v>
      </c>
      <c r="B75" s="17">
        <f>IFERROR(B74/B71,"")</f>
        <v>3.0347960374862398E-2</v>
      </c>
    </row>
    <row r="77" spans="1:6" x14ac:dyDescent="0.25">
      <c r="A77" s="2" t="s">
        <v>141</v>
      </c>
    </row>
  </sheetData>
  <hyperlinks>
    <hyperlink ref="A3" r:id="rId1" xr:uid="{9B63FF92-48CA-4BED-AF57-BFC42F3BD2DA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02 1129 Lincoln Blvd</vt:lpstr>
      <vt:lpstr>'02 1129 Lincoln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2026-09-17T19:24:28Z</dcterms:created>
  <dcterms:modified xsi:type="dcterms:W3CDTF">2026-09-17T19:24:34Z</dcterms:modified>
</cp:coreProperties>
</file>