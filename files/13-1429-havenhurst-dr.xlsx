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171B0DE-BD69-4ADA-9A35-23E940701FC4}" xr6:coauthVersionLast="47" xr6:coauthVersionMax="47" xr10:uidLastSave="{00000000-0000-0000-0000-000000000000}"/>
  <bookViews>
    <workbookView xWindow="-120" yWindow="-120" windowWidth="29040" windowHeight="15720" activeTab="1" xr2:uid="{F626FC3A-E884-4907-9189-F0B705B22F1F}"/>
  </bookViews>
  <sheets>
    <sheet name="Assumptions" sheetId="1" r:id="rId1"/>
    <sheet name="13 1429 Havenhurst Dr" sheetId="2" r:id="rId2"/>
  </sheets>
  <definedNames>
    <definedName name="_xlnm.Print_Area" localSheetId="1">'13 1429 Havenhurst Dr'!$A$1:$N$78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39" i="2" l="1"/>
  <c r="C38" i="2"/>
  <c r="C40" i="2" s="1"/>
  <c r="C46" i="2" s="1"/>
  <c r="C61" i="2"/>
  <c r="B60" i="2"/>
  <c r="B62" i="2"/>
  <c r="B53" i="2"/>
  <c r="B54" i="2"/>
  <c r="D46" i="2" l="1"/>
  <c r="D52" i="2" s="1"/>
  <c r="C52" i="2"/>
  <c r="C59" i="2"/>
  <c r="C60" i="2" l="1"/>
  <c r="B66" i="2"/>
  <c r="B67" i="2" s="1"/>
  <c r="C62" i="2"/>
  <c r="C54" i="2"/>
  <c r="C53" i="2"/>
  <c r="D53" i="2"/>
  <c r="B55" i="2"/>
  <c r="D54" i="2"/>
  <c r="E5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<sst xmlns="http://schemas.openxmlformats.org/spreadsheetml/2006/main" count="148" uniqueCount="140">
  <si>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</si>
  <si>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</si>
  <si>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</si>
  <si>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</si>
  <si>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</si>
  <si>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</si>
  <si>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</si>
  <si>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</si>
  <si>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</si>
  <si>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</si>
  <si>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</si>
  <si>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</si>
  <si>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</si>
  <si>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</si>
  <si>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</si>
  <si>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</si>
  <si>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</si>
  <si>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</si>
  <si>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</si>
  <si>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</si>
  <si>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</si>
  <si>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</si>
  <si>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</si>
  <si>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</si>
  <si>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</si>
  <si>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</si>
  <si>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</si>
  <si>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</si>
  <si>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</si>
  <si>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</si>
  <si>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</si>
  <si>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</si>
  <si>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</si>
  <si>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</si>
  <si>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</si>
  <si>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</si>
  <si>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</si>
  <si>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</si>
  <si>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</si>
  <si>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</si>
  <si>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</si>
  <si>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</si>
  <si>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</si>
  <si>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</si>
  <si>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</si>
  <si>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</si>
  <si>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</si>
  <si>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1429 Havenhurst Dr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</si>
  <si>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</si>
  <si>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</si>
  <si>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</si>
  <si>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</si>
  <si>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</si>
  <si>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</si>
  <si>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</si>
  <si>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</si>
  <si>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</si>
  <si>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</si>
  <si>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</si>
  <si>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</si>
  <si>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</t>
  </si>
  <si>
    <t>Occupancy per listing</t>
  </si>
  <si>
    <t>100%</t>
  </si>
  <si>
    <t>APN</t>
  </si>
  <si>
    <t>5554-018-011</t>
  </si>
  <si>
    <t>Assessed value (current)</t>
  </si>
  <si>
    <t>Listing broker(s)</t>
  </si>
  <si>
    <t>Dana Brody</t>
  </si>
  <si>
    <t>Date on market</t>
  </si>
  <si>
    <t>3/25/2026</t>
  </si>
  <si>
    <t>Listing last updated</t>
  </si>
  <si>
    <t>9/17/2026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</si>
  <si>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</si>
  <si>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</si>
  <si>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</si>
  <si>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</si>
  <si>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</si>
  <si>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</si>
  <si>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</si>
  <si>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</si>
  <si>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</si>
  <si>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</si>
  <si>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</si>
  <si>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</si>
  <si>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</si>
  <si>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(~750 SF)</t>
  </si>
  <si>
    <t>Allocated from published GRM (price / GRM) using LAAA bed weights</t>
  </si>
  <si>
    <t>2 Bd / 2 Ba  (~1000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</si>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</sst>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5A5D8CD-4C45-4558-97CF-6E526D39BD9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29-Havenhurst-Dr-West-Hollywood-CA/399067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71FB-3847-4809-9FFB-E68723AF4FD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861E-39C2-4B9D-9004-0190B38EFC9B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18</v>
      </c>
    </row>
    <row r="8" spans="1:3" x14ac:dyDescent="0.25">
      <c r="A8" t="s">
        <v>53</v>
      </c>
      <c r="B8" s="14">
        <v>13824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1949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4287317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266666.66666666669</v>
      </c>
    </row>
    <row r="24" spans="1:6" x14ac:dyDescent="0.25">
      <c r="A24" t="s">
        <v>75</v>
      </c>
      <c r="B24" s="16">
        <f>IFERROR(B22/B8,"")</f>
        <v>347.22222222222223</v>
      </c>
    </row>
    <row r="25" spans="1:6" x14ac:dyDescent="0.25">
      <c r="A25" t="s">
        <v>76</v>
      </c>
      <c r="B25" s="17">
        <v>5.5599999999999997E-2</v>
      </c>
    </row>
    <row r="26" spans="1:6" x14ac:dyDescent="0.25">
      <c r="A26" t="s">
        <v>77</v>
      </c>
      <c r="B26" s="18">
        <v>13.6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16</v>
      </c>
      <c r="C30" s="20">
        <v>1573</v>
      </c>
      <c r="D30" s="8">
        <f>B30*C30</f>
        <v>25168</v>
      </c>
      <c r="E30" s="8">
        <f>D30*12</f>
        <v>302016</v>
      </c>
      <c r="F30" s="2" t="s">
        <v>86</v>
      </c>
    </row>
    <row r="31" spans="1:6" x14ac:dyDescent="0.25">
      <c r="A31" t="s">
        <v>87</v>
      </c>
      <c r="B31" s="14">
        <v>2</v>
      </c>
      <c r="C31" s="20">
        <v>2123</v>
      </c>
      <c r="D31" s="8">
        <f>B31*C31</f>
        <v>4246</v>
      </c>
      <c r="E31" s="8">
        <f>D31*12</f>
        <v>50952</v>
      </c>
      <c r="F31" s="2" t="s">
        <v>86</v>
      </c>
    </row>
    <row r="32" spans="1:6" x14ac:dyDescent="0.25">
      <c r="A32" s="21" t="s">
        <v>88</v>
      </c>
      <c r="B32" s="22">
        <f>SUM(B30:B31)</f>
        <v>18</v>
      </c>
      <c r="C32" s="23">
        <f>IFERROR(D32/B32,"")</f>
        <v>1634.1111111111111</v>
      </c>
      <c r="D32" s="23">
        <f>SUM(D30:D31)</f>
        <v>29414</v>
      </c>
      <c r="E32" s="23">
        <f>SUM(E30:E31)</f>
        <v>352968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352941.17647058831</v>
      </c>
      <c r="C36" s="8">
        <f>E32</f>
        <v>352968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352941.17647058831</v>
      </c>
      <c r="C38" s="8">
        <f>C36+C37</f>
        <v>352968</v>
      </c>
    </row>
    <row r="39" spans="1:6" x14ac:dyDescent="0.25">
      <c r="A39" t="s">
        <v>97</v>
      </c>
      <c r="B39" s="8">
        <f>-B36*0.03</f>
        <v>-10588.235294117649</v>
      </c>
      <c r="C39" s="8">
        <f>-C36*Assumptions!$B$3</f>
        <v>-10589.039999999999</v>
      </c>
      <c r="F39" s="2" t="s">
        <v>98</v>
      </c>
    </row>
    <row r="40" spans="1:6" x14ac:dyDescent="0.25">
      <c r="A40" s="21" t="s">
        <v>99</v>
      </c>
      <c r="B40" s="23">
        <f>B38+B39</f>
        <v>342352.94117647066</v>
      </c>
      <c r="C40" s="23">
        <f>C38+C39</f>
        <v>342378.96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B22*Assumptions!$B$18</f>
        <v>57600</v>
      </c>
      <c r="D44" s="25">
        <f>C44</f>
        <v>57600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17424</v>
      </c>
      <c r="D45" s="25">
        <f t="shared" ref="D45:D51" si="1">IF(ISNUMBER(B45),MAX(B45,C45),C45)</f>
        <v>17424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17118.948</v>
      </c>
      <c r="D46" s="25">
        <f t="shared" si="1"/>
        <v>17118.948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21600</v>
      </c>
      <c r="D47" s="25">
        <f t="shared" si="1"/>
        <v>21600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28800</v>
      </c>
      <c r="D48" s="25">
        <f t="shared" si="1"/>
        <v>28800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7200</v>
      </c>
      <c r="D49" s="25">
        <f t="shared" si="1"/>
        <v>7200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4500</v>
      </c>
      <c r="D50" s="25">
        <f t="shared" si="1"/>
        <v>4500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5400</v>
      </c>
      <c r="D51" s="25">
        <f t="shared" si="1"/>
        <v>5400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75472.94117647066</v>
      </c>
      <c r="C52" s="23">
        <f>SUM(C44:C51)</f>
        <v>159642.948</v>
      </c>
      <c r="D52" s="23">
        <f>SUM(D44:D51)</f>
        <v>159642.948</v>
      </c>
      <c r="E52" s="23">
        <f t="shared" si="0"/>
        <v>84170.006823529344</v>
      </c>
      <c r="F52" s="2" t="s">
        <v>120</v>
      </c>
    </row>
    <row r="53" spans="1:6" x14ac:dyDescent="0.25">
      <c r="A53" t="s">
        <v>121</v>
      </c>
      <c r="B53" s="8">
        <f>IFERROR(B52/B7,"")</f>
        <v>4192.9411764705919</v>
      </c>
      <c r="C53" s="8">
        <f>IFERROR(C52/B7,"")</f>
        <v>8869.0526666666665</v>
      </c>
      <c r="D53" s="8">
        <f>IFERROR(D52/B7,"")</f>
        <v>8869.0526666666665</v>
      </c>
    </row>
    <row r="54" spans="1:6" x14ac:dyDescent="0.25">
      <c r="A54" t="s">
        <v>122</v>
      </c>
      <c r="B54" s="17">
        <f>IFERROR(B52/B40,"")</f>
        <v>0.22045360824742286</v>
      </c>
      <c r="C54" s="17">
        <f>IFERROR(C52/C40,"")</f>
        <v>0.46627557955079946</v>
      </c>
      <c r="D54" s="17">
        <f>IF(C36&gt;0,IFERROR(D52/C40,""),"")</f>
        <v>0.46627557955079946</v>
      </c>
    </row>
    <row r="55" spans="1:6" x14ac:dyDescent="0.25">
      <c r="A55" s="21" t="s">
        <v>123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266880</v>
      </c>
      <c r="C59" s="23">
        <f>IF(C36&gt;0,C40-D52,"")</f>
        <v>182736.01200000002</v>
      </c>
    </row>
    <row r="60" spans="1:6" x14ac:dyDescent="0.25">
      <c r="A60" s="21" t="s">
        <v>126</v>
      </c>
      <c r="B60" s="17">
        <f>IFERROR(B59/B22,"")</f>
        <v>5.5599999999999997E-2</v>
      </c>
      <c r="C60" s="17">
        <f>IF(C59="","",IFERROR(C59/B22,""))</f>
        <v>3.8070002500000005E-2</v>
      </c>
      <c r="F60" s="2" t="s">
        <v>127</v>
      </c>
    </row>
    <row r="61" spans="1:6" x14ac:dyDescent="0.25">
      <c r="A61" t="s">
        <v>128</v>
      </c>
      <c r="B61" s="18">
        <f>IFERROR(B22/B36,"")</f>
        <v>13.599999999999998</v>
      </c>
      <c r="C61" s="18">
        <f>IF(C36&gt;0,IFERROR(B22/C36,""),"")</f>
        <v>13.598966478547631</v>
      </c>
    </row>
    <row r="62" spans="1:6" x14ac:dyDescent="0.25">
      <c r="A62" t="s">
        <v>129</v>
      </c>
      <c r="B62" s="8">
        <f>IFERROR(B59/B7,"")</f>
        <v>14826.666666666666</v>
      </c>
      <c r="C62" s="8">
        <f>IF(C59="","",IFERROR(C59/B7,""))</f>
        <v>10152.000666666667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2880000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1978570.8100347861</v>
      </c>
    </row>
    <row r="67" spans="1:2" x14ac:dyDescent="0.25">
      <c r="A67" s="21" t="s">
        <v>133</v>
      </c>
      <c r="B67" s="8">
        <f>IFERROR(MIN(B65,B66),"")</f>
        <v>1978570.8100347861</v>
      </c>
    </row>
    <row r="68" spans="1:2" x14ac:dyDescent="0.25">
      <c r="A68" t="s">
        <v>134</v>
      </c>
      <c r="B68" s="8">
        <f>IFERROR(B22-B67,"")</f>
        <v>2821429.1899652136</v>
      </c>
    </row>
    <row r="69" spans="1:2" x14ac:dyDescent="0.25">
      <c r="A69" t="s">
        <v>135</v>
      </c>
      <c r="B69" s="8">
        <f>IFERROR(-PMT(Assumptions!$B$22/12,Assumptions!$B$23*12,B67)*12,"")</f>
        <v>146188.80959999957</v>
      </c>
    </row>
    <row r="70" spans="1:2" x14ac:dyDescent="0.25">
      <c r="A70" t="s">
        <v>136</v>
      </c>
      <c r="B70" s="18">
        <f>IFERROR(C59/B69,"")</f>
        <v>1.2500000000000038</v>
      </c>
    </row>
    <row r="71" spans="1:2" x14ac:dyDescent="0.25">
      <c r="A71" t="s">
        <v>137</v>
      </c>
      <c r="B71" s="8">
        <f>IFERROR(C59-B69,"")</f>
        <v>36547.202400000446</v>
      </c>
    </row>
    <row r="72" spans="1:2" x14ac:dyDescent="0.25">
      <c r="A72" t="s">
        <v>138</v>
      </c>
      <c r="B72" s="17">
        <f>IFERROR(B71/B68,"")</f>
        <v>1.2953435985558457E-2</v>
      </c>
    </row>
    <row r="74" spans="1:2" x14ac:dyDescent="0.25">
      <c r="A74" s="2" t="s">
        <v>139</v>
      </c>
    </row>
  </sheetData>
  <hyperlinks>
    <hyperlink ref="A3" r:id="rId1" xr:uid="{140AE08A-580B-4F07-AC28-14FA8A4C2F3A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13 1429 Havenhurst Dr</vt:lpstr>
      <vt:lpstr>'13 1429 Havenhurst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2026-09-17T19:25:30Z</dcterms:created>
  <dcterms:modified xsi:type="dcterms:W3CDTF">2026-09-17T19:25:35Z</dcterms:modified>
</cp:coreProperties>
</file>