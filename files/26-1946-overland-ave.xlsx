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03260EB4-BA6B-49BF-A3DE-58B80AD575AD}" xr6:coauthVersionLast="47" xr6:coauthVersionMax="47" xr10:uidLastSave="{00000000-0000-0000-0000-000000000000}"/>
  <bookViews>
    <workbookView xWindow="-120" yWindow="-120" windowWidth="29040" windowHeight="15720" activeTab="1" xr2:uid="{1BF0F7AB-B147-40B1-AEBC-89E7F4828B4E}"/>
  </bookViews>
  <sheets>
    <sheet name="Assumptions" sheetId="1" r:id="rId1"/>
    <sheet name="26 1946 Overland Ave" sheetId="2" r:id="rId2"/>
  </sheets>
  <definedNames>
    <definedName name="_xlnm.Print_Area" localSheetId="1">'26 1946 Overland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39" i="2" l="1"/>
  <c r="C38" i="2"/>
  <c r="C40" i="2" s="1"/>
  <c r="C46" i="2" s="1"/>
  <c r="C61" i="2"/>
  <c r="B60" i="2"/>
  <c r="B62" i="2"/>
  <c r="B54" i="2"/>
  <c r="B53" i="2"/>
  <c r="D46" i="2" l="1"/>
  <c r="D52" i="2" s="1"/>
  <c r="C52" i="2"/>
  <c r="C59" i="2"/>
  <c r="C60" i="2" l="1"/>
  <c r="B66" i="2"/>
  <c r="B67" i="2" s="1"/>
  <c r="C62" i="2"/>
  <c r="C54" i="2"/>
  <c r="C53" i="2"/>
  <c r="D53" i="2"/>
  <c r="D54" i="2"/>
  <c r="E52" i="2"/>
  <c r="B55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<sst xmlns="http://schemas.openxmlformats.org/spreadsheetml/2006/main" count="149" uniqueCount="141">
  <si>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</si>
  <si>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</si>
  <si>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</si>
  <si>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</si>
  <si>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</si>
  <si>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</si>
  <si>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</si>
  <si>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</si>
  <si>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</si>
  <si>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</si>
  <si>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</si>
  <si>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</si>
  <si>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</si>
  <si>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</si>
  <si>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</si>
  <si>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</si>
  <si>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</si>
  <si>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</si>
  <si>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</si>
  <si>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</si>
  <si>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</si>
  <si>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</si>
  <si>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</si>
  <si>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</si>
  <si>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</si>
  <si>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</si>
  <si>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</si>
  <si>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</si>
  <si>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</si>
  <si>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</si>
  <si>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</si>
  <si>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</si>
  <si>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</si>
  <si>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</si>
  <si>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</si>
  <si>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</si>
  <si>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</si>
  <si>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</si>
  <si>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</si>
  <si>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</si>
  <si>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</si>
  <si>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</si>
  <si>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</si>
  <si>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</si>
  <si>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</si>
  <si>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</si>
  <si>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</si>
  <si>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1946 Overland Ave</t>
  </si>
  <si>
    <t>Los Angeles, CA 90025  |  West LA / Sawtelle</t>
  </si>
  <si>
    <t>LoopNet listing</t>
  </si>
  <si>
    <t>Data pulled 9/17/2026 from LoopNet public listing</t>
  </si>
  <si>
    <t>NOTE: 2022 construction, RSO per listing (replacement units)</t>
  </si>
  <si>
    <t>PROPERTY</t>
  </si>
  <si>
    <t>Units</t>
  </si>
  <si>
    <t>Gross building SF</t>
  </si>
  <si>
    <t>Lot SF</t>
  </si>
  <si>
    <t>Lot acres</t>
  </si>
  <si>
    <t>Year built</t>
  </si>
  <si>
    <t>Stories</t>
  </si>
  <si>
    <t>5</t>
  </si>
  <si>
    <t>Zoning</t>
  </si>
  <si>
    <t>R3-1-O - Subject to City of LA RSO</t>
  </si>
  <si>
    <t>Occupancy per listing</t>
  </si>
  <si>
    <t>93%</t>
  </si>
  <si>
    <t>APN</t>
  </si>
  <si>
    <t>4321-008-025</t>
  </si>
  <si>
    <t>Assessed value (current)</t>
  </si>
  <si>
    <t>Listing broker(s)</t>
  </si>
  <si>
    <t>Kevin Green, Joseph Grabiec</t>
  </si>
  <si>
    <t>Date on market</t>
  </si>
  <si>
    <t>9/14/2026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</si>
  <si>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</si>
  <si>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</si>
  <si>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</si>
  <si>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</si>
  <si>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</si>
  <si>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</si>
  <si>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</si>
  <si>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</si>
  <si>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</si>
  <si>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</si>
  <si>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</si>
  <si>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</si>
  <si>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</si>
  <si>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</si>
  <si>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</si>
  <si>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</si>
  <si>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Allocated from published GRM (price / GRM) using LAAA bed weights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</si>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</sst>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44A56A7-0E13-4DFC-B811-1E4AA599946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946-Overland-Ave-Los-Angeles-CA/421870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62C0-CE62-422A-A6D6-D76A9EDE485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1FB8-88C7-4CCD-ACCE-2748A83A8D85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25815</v>
      </c>
    </row>
    <row r="9" spans="1:3" x14ac:dyDescent="0.25">
      <c r="A9" t="s">
        <v>55</v>
      </c>
      <c r="B9" s="15">
        <v>12197</v>
      </c>
    </row>
    <row r="10" spans="1:3" x14ac:dyDescent="0.25">
      <c r="A10" t="s">
        <v>56</v>
      </c>
      <c r="B10" s="16">
        <v>0.28000000000000003</v>
      </c>
    </row>
    <row r="11" spans="1:3" x14ac:dyDescent="0.25">
      <c r="A11" t="s">
        <v>57</v>
      </c>
      <c r="B11">
        <v>2022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10096686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11500000</v>
      </c>
    </row>
    <row r="23" spans="1:6" x14ac:dyDescent="0.25">
      <c r="A23" t="s">
        <v>75</v>
      </c>
      <c r="B23" s="8">
        <f>IFERROR(B22/B7,"")</f>
        <v>766666.66666666663</v>
      </c>
    </row>
    <row r="24" spans="1:6" x14ac:dyDescent="0.25">
      <c r="A24" t="s">
        <v>76</v>
      </c>
      <c r="B24" s="17">
        <f>IFERROR(B22/B8,"")</f>
        <v>445.47743559945769</v>
      </c>
    </row>
    <row r="25" spans="1:6" x14ac:dyDescent="0.25">
      <c r="A25" t="s">
        <v>77</v>
      </c>
      <c r="B25" s="18">
        <v>4.7699999999999992E-2</v>
      </c>
    </row>
    <row r="26" spans="1:6" x14ac:dyDescent="0.25">
      <c r="A26" t="s">
        <v>78</v>
      </c>
      <c r="B26" s="19">
        <v>13.76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6</v>
      </c>
      <c r="C30" s="21">
        <v>3837</v>
      </c>
      <c r="D30" s="8">
        <f>B30*C30</f>
        <v>23022</v>
      </c>
      <c r="E30" s="8">
        <f>D30*12</f>
        <v>276264</v>
      </c>
      <c r="F30" s="2" t="s">
        <v>87</v>
      </c>
    </row>
    <row r="31" spans="1:6" x14ac:dyDescent="0.25">
      <c r="A31" t="s">
        <v>88</v>
      </c>
      <c r="B31" s="15">
        <v>9</v>
      </c>
      <c r="C31" s="21">
        <v>5180</v>
      </c>
      <c r="D31" s="8">
        <f>B31*C31</f>
        <v>46620</v>
      </c>
      <c r="E31" s="8">
        <f>D31*12</f>
        <v>559440</v>
      </c>
      <c r="F31" s="2" t="s">
        <v>87</v>
      </c>
    </row>
    <row r="32" spans="1:6" x14ac:dyDescent="0.25">
      <c r="A32" s="22" t="s">
        <v>89</v>
      </c>
      <c r="B32" s="23">
        <f>SUM(B30:B31)</f>
        <v>15</v>
      </c>
      <c r="C32" s="24">
        <f>IFERROR(D32/B32,"")</f>
        <v>4642.8</v>
      </c>
      <c r="D32" s="24">
        <f>SUM(D30:D31)</f>
        <v>69642</v>
      </c>
      <c r="E32" s="24">
        <f>SUM(E30:E31)</f>
        <v>835704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835755.81395348837</v>
      </c>
      <c r="C36" s="8">
        <f>E32</f>
        <v>835704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835755.81395348837</v>
      </c>
      <c r="C38" s="8">
        <f>C36+C37</f>
        <v>835704</v>
      </c>
    </row>
    <row r="39" spans="1:6" x14ac:dyDescent="0.25">
      <c r="A39" t="s">
        <v>98</v>
      </c>
      <c r="B39" s="8">
        <f>-B36*0.03</f>
        <v>-25072.674418604649</v>
      </c>
      <c r="C39" s="8">
        <f>-C36*Assumptions!$B$3</f>
        <v>-25071.119999999999</v>
      </c>
      <c r="F39" s="2" t="s">
        <v>99</v>
      </c>
    </row>
    <row r="40" spans="1:6" x14ac:dyDescent="0.25">
      <c r="A40" s="22" t="s">
        <v>100</v>
      </c>
      <c r="B40" s="24">
        <f>B38+B39</f>
        <v>810683.13953488367</v>
      </c>
      <c r="C40" s="24">
        <f>C38+C39</f>
        <v>810632.88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143750</v>
      </c>
      <c r="D44" s="26">
        <f>C44</f>
        <v>143750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28815</v>
      </c>
      <c r="D45" s="26">
        <f t="shared" ref="D45:D51" si="1">IF(ISNUMBER(B45),MAX(B45,C45),C45)</f>
        <v>28815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40531.644</v>
      </c>
      <c r="D46" s="26">
        <f t="shared" si="1"/>
        <v>40531.644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B7*Assumptions!$B$8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22500</v>
      </c>
      <c r="D48" s="26">
        <f t="shared" si="1"/>
        <v>22500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6000</v>
      </c>
      <c r="D49" s="26">
        <f t="shared" si="1"/>
        <v>6000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3750</v>
      </c>
      <c r="D50" s="26">
        <f t="shared" si="1"/>
        <v>3750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4500</v>
      </c>
      <c r="D51" s="26">
        <f t="shared" si="1"/>
        <v>4500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262133.13953488378</v>
      </c>
      <c r="C52" s="24">
        <f>SUM(C44:C51)</f>
        <v>261846.644</v>
      </c>
      <c r="D52" s="24">
        <f>SUM(D44:D51)</f>
        <v>261846.644</v>
      </c>
      <c r="E52" s="24">
        <f t="shared" si="0"/>
        <v>-286.49553488378297</v>
      </c>
      <c r="F52" s="2" t="s">
        <v>121</v>
      </c>
    </row>
    <row r="53" spans="1:6" x14ac:dyDescent="0.25">
      <c r="A53" t="s">
        <v>122</v>
      </c>
      <c r="B53" s="8">
        <f>IFERROR(B52/B7,"")</f>
        <v>17475.54263565892</v>
      </c>
      <c r="C53" s="8">
        <f>IFERROR(C52/B7,"")</f>
        <v>17456.442933333332</v>
      </c>
      <c r="D53" s="8">
        <f>IFERROR(D52/B7,"")</f>
        <v>17456.442933333332</v>
      </c>
    </row>
    <row r="54" spans="1:6" x14ac:dyDescent="0.25">
      <c r="A54" t="s">
        <v>123</v>
      </c>
      <c r="B54" s="18">
        <f>IFERROR(B52/B40,"")</f>
        <v>0.32334845360824754</v>
      </c>
      <c r="C54" s="18">
        <f>IFERROR(C52/C40,"")</f>
        <v>0.32301507927978446</v>
      </c>
      <c r="D54" s="18">
        <f>IF(C36&gt;0,IFERROR(D52/C40,""),"")</f>
        <v>0.32301507927978446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548549.99999999988</v>
      </c>
      <c r="C59" s="24">
        <f>IF(C36&gt;0,C40-D52,"")</f>
        <v>548786.23600000003</v>
      </c>
    </row>
    <row r="60" spans="1:6" x14ac:dyDescent="0.25">
      <c r="A60" s="22" t="s">
        <v>127</v>
      </c>
      <c r="B60" s="18">
        <f>IFERROR(B59/B22,"")</f>
        <v>4.7699999999999992E-2</v>
      </c>
      <c r="C60" s="18">
        <f>IF(C59="","",IFERROR(C59/B22,""))</f>
        <v>4.7720542260869567E-2</v>
      </c>
      <c r="F60" s="2" t="s">
        <v>128</v>
      </c>
    </row>
    <row r="61" spans="1:6" x14ac:dyDescent="0.25">
      <c r="A61" t="s">
        <v>129</v>
      </c>
      <c r="B61" s="19">
        <f>IFERROR(B22/B36,"")</f>
        <v>13.76</v>
      </c>
      <c r="C61" s="19">
        <f>IF(C36&gt;0,IFERROR(B22/C36,""),"")</f>
        <v>13.760853125029914</v>
      </c>
    </row>
    <row r="62" spans="1:6" x14ac:dyDescent="0.25">
      <c r="A62" t="s">
        <v>130</v>
      </c>
      <c r="B62" s="8">
        <f>IFERROR(B59/B7,"")</f>
        <v>36569.999999999993</v>
      </c>
      <c r="C62" s="8">
        <f>IF(C59="","",IFERROR(C59/B7,""))</f>
        <v>36585.749066666671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6900000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5941972.8799732216</v>
      </c>
    </row>
    <row r="67" spans="1:2" x14ac:dyDescent="0.25">
      <c r="A67" s="22" t="s">
        <v>134</v>
      </c>
      <c r="B67" s="8">
        <f>IFERROR(MIN(B65,B66),"")</f>
        <v>5941972.8799732216</v>
      </c>
    </row>
    <row r="68" spans="1:2" x14ac:dyDescent="0.25">
      <c r="A68" t="s">
        <v>135</v>
      </c>
      <c r="B68" s="8">
        <f>IFERROR(B22-B67,"")</f>
        <v>5558027.1200267784</v>
      </c>
    </row>
    <row r="69" spans="1:2" x14ac:dyDescent="0.25">
      <c r="A69" t="s">
        <v>136</v>
      </c>
      <c r="B69" s="8">
        <f>IFERROR(-PMT(Assumptions!$B$22/12,Assumptions!$B$23*12,B67)*12,"")</f>
        <v>439028.98879999865</v>
      </c>
    </row>
    <row r="70" spans="1:2" x14ac:dyDescent="0.25">
      <c r="A70" t="s">
        <v>137</v>
      </c>
      <c r="B70" s="19">
        <f>IFERROR(C59/B69,"")</f>
        <v>1.250000000000004</v>
      </c>
    </row>
    <row r="71" spans="1:2" x14ac:dyDescent="0.25">
      <c r="A71" t="s">
        <v>138</v>
      </c>
      <c r="B71" s="8">
        <f>IFERROR(C59-B69,"")</f>
        <v>109757.24720000138</v>
      </c>
    </row>
    <row r="72" spans="1:2" x14ac:dyDescent="0.25">
      <c r="A72" t="s">
        <v>139</v>
      </c>
      <c r="B72" s="18">
        <f>IFERROR(B71/B68,"")</f>
        <v>1.9747519187972688E-2</v>
      </c>
    </row>
    <row r="74" spans="1:2" x14ac:dyDescent="0.25">
      <c r="A74" s="2" t="s">
        <v>140</v>
      </c>
    </row>
  </sheetData>
  <hyperlinks>
    <hyperlink ref="A3" r:id="rId1" xr:uid="{16936350-71F3-498D-8C1D-2676EFED7AD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26 1946 Overland Ave</vt:lpstr>
      <vt:lpstr>'26 1946 Overland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2026-09-17T18:57:09Z</dcterms:created>
  <dcterms:modified xsi:type="dcterms:W3CDTF">2026-09-17T18:57:12Z</dcterms:modified>
</cp:coreProperties>
</file>