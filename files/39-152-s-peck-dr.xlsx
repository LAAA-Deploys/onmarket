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F15685B6-049D-40BE-825D-858671002BB5}" xr6:coauthVersionLast="47" xr6:coauthVersionMax="47" xr10:uidLastSave="{00000000-0000-0000-0000-000000000000}"/>
  <bookViews>
    <workbookView xWindow="-120" yWindow="-120" windowWidth="29040" windowHeight="15720" activeTab="1" xr2:uid="{2803DF85-924A-4D73-989A-52FBB06407E8}"/>
  </bookViews>
  <sheets>
    <sheet name="Assumptions" sheetId="1" r:id="rId1"/>
    <sheet name="39 152 S Peck Dr" sheetId="2" r:id="rId2"/>
  </sheets>
  <definedNames>
    <definedName name="_xlnm.Print_Area" localSheetId="1">'39 152 S Peck Dr'!$A$1:$N$80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2" i="2"/>
  <c r="E52" i="2"/>
  <c r="C52" i="2"/>
  <c r="D52" i="2" s="1"/>
  <c r="E51" i="2"/>
  <c r="C51" i="2"/>
  <c r="D51" i="2" s="1"/>
  <c r="E50" i="2"/>
  <c r="C50" i="2"/>
  <c r="D50" i="2" s="1"/>
  <c r="E49" i="2"/>
  <c r="D49" i="2"/>
  <c r="C49" i="2"/>
  <c r="E48" i="2"/>
  <c r="C48" i="2"/>
  <c r="D48" i="2" s="1"/>
  <c r="E47" i="2"/>
  <c r="E46" i="2"/>
  <c r="C46" i="2"/>
  <c r="D46" i="2" s="1"/>
  <c r="E45" i="2"/>
  <c r="D45" i="2"/>
  <c r="C45" i="2"/>
  <c r="B40" i="2"/>
  <c r="B39" i="2"/>
  <c r="B41" i="2" s="1"/>
  <c r="D33" i="2"/>
  <c r="C33" i="2" s="1"/>
  <c r="B33" i="2"/>
  <c r="D32" i="2"/>
  <c r="E32" i="2" s="1"/>
  <c r="D31" i="2"/>
  <c r="E31" i="2" s="1"/>
  <c r="D30" i="2"/>
  <c r="E30" i="2" s="1"/>
  <c r="B24" i="2"/>
  <c r="B23" i="2"/>
  <c r="B53" i="2" l="1"/>
  <c r="B60" i="2"/>
  <c r="E33" i="2"/>
  <c r="C37" i="2" s="1"/>
  <c r="C40" i="2" l="1"/>
  <c r="C39" i="2"/>
  <c r="C41" i="2" s="1"/>
  <c r="C47" i="2" s="1"/>
  <c r="C62" i="2"/>
  <c r="B61" i="2"/>
  <c r="B63" i="2"/>
  <c r="B55" i="2"/>
  <c r="B54" i="2"/>
  <c r="D47" i="2" l="1"/>
  <c r="D53" i="2" s="1"/>
  <c r="C53" i="2"/>
  <c r="C60" i="2"/>
  <c r="C61" i="2" l="1"/>
  <c r="C63" i="2"/>
  <c r="B67" i="2"/>
  <c r="B68" i="2" s="1"/>
  <c r="C55" i="2"/>
  <c r="C54" i="2"/>
  <c r="D54" i="2"/>
  <c r="D55" i="2"/>
  <c r="E53" i="2"/>
  <c r="B56" i="2"/>
  <c r="B70" i="2" l="1"/>
  <c r="B69" i="2"/>
  <c r="B72" i="2" l="1"/>
  <c r="B73" i="2" s="1"/>
  <c r="B71" i="2"/>
</calcChain>
</file>

<file path=xl/sharedStrings.xml><?xml version="1.0" encoding="utf-8"?>
<sst xmlns="http://schemas.openxmlformats.org/spreadsheetml/2006/main" count="151" uniqueCount="141">
  <si>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</si>
  <si>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</si>
  <si>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</si>
  <si>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</si>
  <si>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</si>
  <si>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</si>
  <si>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</si>
  <si>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</si>
  <si>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</si>
  <si>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</si>
  <si>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</si>
  <si>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</si>
  <si>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</si>
  <si>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</si>
  <si>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</si>
  <si>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</si>
  <si>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</si>
  <si>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</si>
  <si>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</si>
  <si>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</si>
  <si>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</si>
  <si>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</si>
  <si>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</si>
  <si>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</si>
  <si>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</si>
  <si>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</si>
  <si>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</si>
  <si>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</si>
  <si>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</si>
  <si>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</si>
  <si>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</si>
  <si>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</si>
  <si>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</si>
  <si>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</si>
  <si>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</si>
  <si>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</si>
  <si>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</si>
  <si>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</si>
  <si>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</si>
  <si>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</si>
  <si>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</si>
  <si>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</si>
  <si>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</si>
  <si>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</si>
  <si>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</si>
  <si>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</si>
  <si>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</si>
  <si>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152 S Peck Dr (Adelon Apts)</t>
  </si>
  <si>
    <t>Beverly Hills, CA 90212  |  Beverly Hills</t>
  </si>
  <si>
    <t>LoopNet listing</t>
  </si>
  <si>
    <t>Data pulled 9/17/2026 from LoopNet public listing</t>
  </si>
  <si>
    <t>NOTE: 1929 build; 31% upside claimed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</si>
  <si>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</si>
  <si>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</si>
  <si>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</si>
  <si>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</si>
  <si>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</si>
  <si>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</si>
  <si>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</si>
  <si>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3</t>
  </si>
  <si>
    <t>Zoning</t>
  </si>
  <si>
    <t>R4, Beverly Hills - Multiple Dwelling R3 Uses, Churches, Schools, Childcare, Homeless Shelter</t>
  </si>
  <si>
    <t>Occupancy per listing</t>
  </si>
  <si>
    <t>100%</t>
  </si>
  <si>
    <t>APN</t>
  </si>
  <si>
    <t>4328-026-020</t>
  </si>
  <si>
    <t>Assessed value (current)</t>
  </si>
  <si>
    <t>Listing broker(s)</t>
  </si>
  <si>
    <t>Hamid Soroudi</t>
  </si>
  <si>
    <t>Date on market</t>
  </si>
  <si>
    <t>7/20/2026</t>
  </si>
  <si>
    <t>Listing last updated</t>
  </si>
  <si>
    <t>8/31/2026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</si>
  <si>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</si>
  <si>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</si>
  <si>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</si>
  <si>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</si>
  <si>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</si>
  <si>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</si>
  <si>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</si>
  <si>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</si>
  <si>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</si>
  <si>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</si>
  <si>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</si>
  <si>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</si>
  <si>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</si>
  <si>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Allocated from published GRM (price / GRM) using LAAA bed weights</t>
  </si>
  <si>
    <t>1 Bd / 1 Ba</t>
  </si>
  <si>
    <t>2 Bd / 1 Ba  (~1000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</si>
  <si>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</si>
  <si>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</si>
  <si>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</si>
  <si>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</si>
  <si>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</si>
  <si>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</si>
  <si>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</si>
  <si>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</si>
  <si>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</si>
  <si>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</si>
  <si>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</si>
  <si>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</si>
  <si>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</si>
  <si>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</si>
  <si>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</si>
  <si>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</si>
  <si>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</si>
  <si>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Beverly Hills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</si>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</sst>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990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1A58ECE-F1A6-41DE-8B55-E6581F8262F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990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52-S-Peck-Dr-Beverly-Hills-CA/413637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8A491-921D-4D00-92EE-CE0754DC5EBB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21338-69EE-4F0E-A402-B160D4405A12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31</v>
      </c>
    </row>
    <row r="8" spans="1:3" x14ac:dyDescent="0.25">
      <c r="A8" t="s">
        <v>54</v>
      </c>
      <c r="B8" s="15">
        <v>18456</v>
      </c>
    </row>
    <row r="9" spans="1:3" x14ac:dyDescent="0.25">
      <c r="A9" t="s">
        <v>55</v>
      </c>
      <c r="B9" s="15">
        <v>9583</v>
      </c>
    </row>
    <row r="10" spans="1:3" x14ac:dyDescent="0.25">
      <c r="A10" t="s">
        <v>56</v>
      </c>
      <c r="B10" s="16">
        <v>0.22</v>
      </c>
    </row>
    <row r="11" spans="1:3" x14ac:dyDescent="0.25">
      <c r="A11" t="s">
        <v>57</v>
      </c>
      <c r="B11">
        <v>1929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5565423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14000000</v>
      </c>
    </row>
    <row r="23" spans="1:6" x14ac:dyDescent="0.25">
      <c r="A23" t="s">
        <v>75</v>
      </c>
      <c r="B23" s="8">
        <f>IFERROR(B22/B7,"")</f>
        <v>451612.90322580643</v>
      </c>
    </row>
    <row r="24" spans="1:6" x14ac:dyDescent="0.25">
      <c r="A24" t="s">
        <v>76</v>
      </c>
      <c r="B24" s="17">
        <f>IFERROR(B22/B8,"")</f>
        <v>758.5609016038145</v>
      </c>
    </row>
    <row r="25" spans="1:6" x14ac:dyDescent="0.25">
      <c r="A25" t="s">
        <v>77</v>
      </c>
      <c r="B25" s="18">
        <v>4.3999999999999997E-2</v>
      </c>
    </row>
    <row r="26" spans="1:6" x14ac:dyDescent="0.25">
      <c r="A26" t="s">
        <v>78</v>
      </c>
      <c r="B26" s="19">
        <v>14.7</v>
      </c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34</v>
      </c>
      <c r="B30" s="15">
        <v>6</v>
      </c>
      <c r="C30" s="21">
        <v>1816</v>
      </c>
      <c r="D30" s="8">
        <f>B30*C30</f>
        <v>10896</v>
      </c>
      <c r="E30" s="8">
        <f>D30*12</f>
        <v>130752</v>
      </c>
      <c r="F30" s="2" t="s">
        <v>86</v>
      </c>
    </row>
    <row r="31" spans="1:6" x14ac:dyDescent="0.25">
      <c r="A31" t="s">
        <v>87</v>
      </c>
      <c r="B31" s="15">
        <v>21</v>
      </c>
      <c r="C31" s="21">
        <v>2594</v>
      </c>
      <c r="D31" s="8">
        <f>B31*C31</f>
        <v>54474</v>
      </c>
      <c r="E31" s="8">
        <f>D31*12</f>
        <v>653688</v>
      </c>
      <c r="F31" s="2" t="s">
        <v>86</v>
      </c>
    </row>
    <row r="32" spans="1:6" x14ac:dyDescent="0.25">
      <c r="A32" t="s">
        <v>88</v>
      </c>
      <c r="B32" s="15">
        <v>4</v>
      </c>
      <c r="C32" s="21">
        <v>3501</v>
      </c>
      <c r="D32" s="8">
        <f>B32*C32</f>
        <v>14004</v>
      </c>
      <c r="E32" s="8">
        <f>D32*12</f>
        <v>168048</v>
      </c>
      <c r="F32" s="2" t="s">
        <v>86</v>
      </c>
    </row>
    <row r="33" spans="1:6" x14ac:dyDescent="0.25">
      <c r="A33" s="22" t="s">
        <v>89</v>
      </c>
      <c r="B33" s="23">
        <f>SUM(B30:B32)</f>
        <v>31</v>
      </c>
      <c r="C33" s="24">
        <f>IFERROR(D33/B33,"")</f>
        <v>2560.4516129032259</v>
      </c>
      <c r="D33" s="24">
        <f>SUM(D30:D32)</f>
        <v>79374</v>
      </c>
      <c r="E33" s="24">
        <f>SUM(E30:E32)</f>
        <v>952488</v>
      </c>
    </row>
    <row r="35" spans="1:6" x14ac:dyDescent="0.25">
      <c r="A35" s="13" t="s">
        <v>90</v>
      </c>
      <c r="B35" s="14"/>
      <c r="C35" s="14"/>
      <c r="D35" s="14"/>
      <c r="E35" s="14"/>
      <c r="F35" s="14"/>
    </row>
    <row r="36" spans="1:6" x14ac:dyDescent="0.25">
      <c r="A36" s="25"/>
      <c r="B36" s="25" t="s">
        <v>91</v>
      </c>
      <c r="C36" s="25" t="s">
        <v>92</v>
      </c>
      <c r="D36" s="25"/>
      <c r="E36" s="25"/>
      <c r="F36" s="25" t="s">
        <v>93</v>
      </c>
    </row>
    <row r="37" spans="1:6" x14ac:dyDescent="0.25">
      <c r="A37" t="s">
        <v>94</v>
      </c>
      <c r="B37" s="8">
        <v>952380.95238095243</v>
      </c>
      <c r="C37" s="8">
        <f>E33</f>
        <v>952488</v>
      </c>
      <c r="F37" s="2" t="s">
        <v>95</v>
      </c>
    </row>
    <row r="38" spans="1:6" x14ac:dyDescent="0.25">
      <c r="A38" t="s">
        <v>96</v>
      </c>
      <c r="B38" s="8">
        <v>0</v>
      </c>
      <c r="C38" s="4">
        <v>0</v>
      </c>
    </row>
    <row r="39" spans="1:6" x14ac:dyDescent="0.25">
      <c r="A39" s="22" t="s">
        <v>97</v>
      </c>
      <c r="B39" s="8">
        <f>B37+B38</f>
        <v>952380.95238095243</v>
      </c>
      <c r="C39" s="8">
        <f>C37+C38</f>
        <v>952488</v>
      </c>
    </row>
    <row r="40" spans="1:6" x14ac:dyDescent="0.25">
      <c r="A40" t="s">
        <v>98</v>
      </c>
      <c r="B40" s="8">
        <f>-B37*0.03</f>
        <v>-28571.428571428572</v>
      </c>
      <c r="C40" s="8">
        <f>-C37*Assumptions!$B$3</f>
        <v>-28574.639999999999</v>
      </c>
      <c r="F40" s="2" t="s">
        <v>99</v>
      </c>
    </row>
    <row r="41" spans="1:6" x14ac:dyDescent="0.25">
      <c r="A41" s="22" t="s">
        <v>100</v>
      </c>
      <c r="B41" s="24">
        <f>B39+B40</f>
        <v>923809.5238095239</v>
      </c>
      <c r="C41" s="24">
        <f>C39+C40</f>
        <v>923913.36</v>
      </c>
    </row>
    <row r="43" spans="1:6" x14ac:dyDescent="0.25">
      <c r="A43" s="13" t="s">
        <v>101</v>
      </c>
      <c r="B43" s="14"/>
      <c r="C43" s="14"/>
      <c r="D43" s="14"/>
      <c r="E43" s="14"/>
      <c r="F43" s="14"/>
    </row>
    <row r="44" spans="1:6" x14ac:dyDescent="0.25">
      <c r="A44" s="25" t="s">
        <v>102</v>
      </c>
      <c r="B44" s="25" t="s">
        <v>91</v>
      </c>
      <c r="C44" s="25" t="s">
        <v>103</v>
      </c>
      <c r="D44" s="25" t="s">
        <v>92</v>
      </c>
      <c r="E44" s="25" t="s">
        <v>104</v>
      </c>
      <c r="F44" s="25" t="s">
        <v>93</v>
      </c>
    </row>
    <row r="45" spans="1:6" x14ac:dyDescent="0.25">
      <c r="A45" t="s">
        <v>105</v>
      </c>
      <c r="B45" s="8"/>
      <c r="C45" s="8">
        <f>B22*Assumptions!$B$17</f>
        <v>161000</v>
      </c>
      <c r="D45" s="26">
        <f>C45</f>
        <v>161000</v>
      </c>
      <c r="E45" s="8" t="str">
        <f t="shared" ref="E45:E53" si="0">IF(ISNUMBER(B45),D45-B45,"")</f>
        <v/>
      </c>
      <c r="F45" s="2" t="s">
        <v>106</v>
      </c>
    </row>
    <row r="46" spans="1:6" x14ac:dyDescent="0.25">
      <c r="A46" t="s">
        <v>107</v>
      </c>
      <c r="B46" s="8"/>
      <c r="C46" s="8">
        <f>B7*Assumptions!$B$5+B8*Assumptions!$B$6</f>
        <v>24656</v>
      </c>
      <c r="D46" s="26">
        <f t="shared" ref="D46:D52" si="1">IF(ISNUMBER(B46),MAX(B46,C46),C46)</f>
        <v>24656</v>
      </c>
      <c r="E46" s="8" t="str">
        <f t="shared" si="0"/>
        <v/>
      </c>
      <c r="F46" s="2" t="s">
        <v>108</v>
      </c>
    </row>
    <row r="47" spans="1:6" x14ac:dyDescent="0.25">
      <c r="A47" t="s">
        <v>109</v>
      </c>
      <c r="B47" s="8"/>
      <c r="C47" s="8">
        <f>C41*Assumptions!$B$4</f>
        <v>46195.668000000005</v>
      </c>
      <c r="D47" s="26">
        <f t="shared" si="1"/>
        <v>46195.668000000005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B7*Assumptions!$B$7</f>
        <v>37200</v>
      </c>
      <c r="D48" s="26">
        <f t="shared" si="1"/>
        <v>37200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B7*Assumptions!$B$11</f>
        <v>49600</v>
      </c>
      <c r="D49" s="26">
        <f t="shared" si="1"/>
        <v>49600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B7*Assumptions!$B$12</f>
        <v>12400</v>
      </c>
      <c r="D50" s="26">
        <f t="shared" si="1"/>
        <v>12400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B7*Assumptions!$B$13</f>
        <v>7750</v>
      </c>
      <c r="D51" s="26">
        <f t="shared" si="1"/>
        <v>7750</v>
      </c>
      <c r="E51" s="8" t="str">
        <f t="shared" si="0"/>
        <v/>
      </c>
      <c r="F51" s="2" t="s">
        <v>118</v>
      </c>
    </row>
    <row r="52" spans="1:6" x14ac:dyDescent="0.25">
      <c r="A52" t="s">
        <v>119</v>
      </c>
      <c r="B52" s="8"/>
      <c r="C52" s="8">
        <f>B7*Assumptions!$B$14</f>
        <v>9300</v>
      </c>
      <c r="D52" s="26">
        <f t="shared" si="1"/>
        <v>9300</v>
      </c>
      <c r="E52" s="8" t="str">
        <f t="shared" si="0"/>
        <v/>
      </c>
      <c r="F52" s="2" t="s">
        <v>116</v>
      </c>
    </row>
    <row r="53" spans="1:6" x14ac:dyDescent="0.25">
      <c r="A53" s="22" t="s">
        <v>120</v>
      </c>
      <c r="B53" s="24">
        <f>B41-B22*B25</f>
        <v>307809.5238095239</v>
      </c>
      <c r="C53" s="24">
        <f>SUM(C45:C52)</f>
        <v>348101.66800000001</v>
      </c>
      <c r="D53" s="24">
        <f>SUM(D45:D52)</f>
        <v>348101.66800000001</v>
      </c>
      <c r="E53" s="24">
        <f t="shared" si="0"/>
        <v>40292.144190476101</v>
      </c>
      <c r="F53" s="2" t="s">
        <v>121</v>
      </c>
    </row>
    <row r="54" spans="1:6" x14ac:dyDescent="0.25">
      <c r="A54" t="s">
        <v>122</v>
      </c>
      <c r="B54" s="8">
        <f>IFERROR(B53/B7,"")</f>
        <v>9929.3394777265767</v>
      </c>
      <c r="C54" s="8">
        <f>IFERROR(C53/B7,"")</f>
        <v>11229.086064516128</v>
      </c>
      <c r="D54" s="8">
        <f>IFERROR(D53/B7,"")</f>
        <v>11229.086064516128</v>
      </c>
    </row>
    <row r="55" spans="1:6" x14ac:dyDescent="0.25">
      <c r="A55" t="s">
        <v>123</v>
      </c>
      <c r="B55" s="18">
        <f>IFERROR(B53/B41,"")</f>
        <v>0.33319587628865988</v>
      </c>
      <c r="C55" s="18">
        <f>IFERROR(C53/C41,"")</f>
        <v>0.37676873511169923</v>
      </c>
      <c r="D55" s="18">
        <f>IF(C37&gt;0,IFERROR(D53/C41,""),"")</f>
        <v>0.37676873511169923</v>
      </c>
    </row>
    <row r="56" spans="1:6" x14ac:dyDescent="0.25">
      <c r="A56" s="22" t="s">
        <v>124</v>
      </c>
      <c r="B56" s="12" t="str">
        <f>IF(ISNUMBER(B53),IF(D53&gt;B53*(1+Assumptions!$B$24),"OM EXPENSES LIGHT","OM expenses reasonable"),"OM expenses not published")</f>
        <v>OM EXPENSES LIGHT</v>
      </c>
    </row>
    <row r="58" spans="1:6" x14ac:dyDescent="0.25">
      <c r="A58" s="13" t="s">
        <v>125</v>
      </c>
      <c r="B58" s="14"/>
      <c r="C58" s="14"/>
      <c r="D58" s="14"/>
      <c r="E58" s="14"/>
      <c r="F58" s="14"/>
    </row>
    <row r="59" spans="1:6" x14ac:dyDescent="0.25">
      <c r="A59" s="25"/>
      <c r="B59" s="25" t="s">
        <v>91</v>
      </c>
      <c r="C59" s="25" t="s">
        <v>92</v>
      </c>
      <c r="D59" s="25"/>
      <c r="E59" s="25"/>
      <c r="F59" s="25" t="s">
        <v>93</v>
      </c>
    </row>
    <row r="60" spans="1:6" x14ac:dyDescent="0.25">
      <c r="A60" s="22" t="s">
        <v>126</v>
      </c>
      <c r="B60" s="24">
        <f>B41-B53</f>
        <v>616000</v>
      </c>
      <c r="C60" s="24">
        <f>IF(C37&gt;0,C41-D53,"")</f>
        <v>575811.69200000004</v>
      </c>
    </row>
    <row r="61" spans="1:6" x14ac:dyDescent="0.25">
      <c r="A61" s="22" t="s">
        <v>127</v>
      </c>
      <c r="B61" s="18">
        <f>IFERROR(B60/B22,"")</f>
        <v>4.3999999999999997E-2</v>
      </c>
      <c r="C61" s="18">
        <f>IF(C60="","",IFERROR(C60/B22,""))</f>
        <v>4.1129406571428571E-2</v>
      </c>
      <c r="F61" s="2" t="s">
        <v>128</v>
      </c>
    </row>
    <row r="62" spans="1:6" x14ac:dyDescent="0.25">
      <c r="A62" t="s">
        <v>129</v>
      </c>
      <c r="B62" s="19">
        <f>IFERROR(B22/B37,"")</f>
        <v>14.7</v>
      </c>
      <c r="C62" s="19">
        <f>IF(C37&gt;0,IFERROR(B22/C37,""),"")</f>
        <v>14.6983479056954</v>
      </c>
    </row>
    <row r="63" spans="1:6" x14ac:dyDescent="0.25">
      <c r="A63" t="s">
        <v>130</v>
      </c>
      <c r="B63" s="8">
        <f>IFERROR(B60/B7,"")</f>
        <v>19870.967741935485</v>
      </c>
      <c r="C63" s="8">
        <f>IF(C60="","",IFERROR(C60/B7,""))</f>
        <v>18574.57070967742</v>
      </c>
    </row>
    <row r="65" spans="1:6" x14ac:dyDescent="0.25">
      <c r="A65" s="13" t="s">
        <v>131</v>
      </c>
      <c r="B65" s="14"/>
      <c r="C65" s="14"/>
      <c r="D65" s="14"/>
      <c r="E65" s="14"/>
      <c r="F65" s="14"/>
    </row>
    <row r="66" spans="1:6" x14ac:dyDescent="0.25">
      <c r="A66" t="s">
        <v>132</v>
      </c>
      <c r="B66" s="8">
        <f>IFERROR(B22*Assumptions!$B$20,"")</f>
        <v>8400000</v>
      </c>
    </row>
    <row r="67" spans="1:6" x14ac:dyDescent="0.25">
      <c r="A67" t="s">
        <v>133</v>
      </c>
      <c r="B67" s="8">
        <f>IF(C60="","",IFERROR(PV(Assumptions!$B$22/12,Assumptions!$B$23*12,-C60/Assumptions!$B$21/12),""))</f>
        <v>6234590.5079067871</v>
      </c>
    </row>
    <row r="68" spans="1:6" x14ac:dyDescent="0.25">
      <c r="A68" s="22" t="s">
        <v>134</v>
      </c>
      <c r="B68" s="8">
        <f>IFERROR(MIN(B66,B67),"")</f>
        <v>6234590.5079067871</v>
      </c>
    </row>
    <row r="69" spans="1:6" x14ac:dyDescent="0.25">
      <c r="A69" t="s">
        <v>135</v>
      </c>
      <c r="B69" s="8">
        <f>IFERROR(B22-B68,"")</f>
        <v>7765409.4920932129</v>
      </c>
    </row>
    <row r="70" spans="1:6" x14ac:dyDescent="0.25">
      <c r="A70" t="s">
        <v>136</v>
      </c>
      <c r="B70" s="8">
        <f>IFERROR(-PMT(Assumptions!$B$22/12,Assumptions!$B$23*12,B68)*12,"")</f>
        <v>460649.35359999858</v>
      </c>
    </row>
    <row r="71" spans="1:6" x14ac:dyDescent="0.25">
      <c r="A71" t="s">
        <v>137</v>
      </c>
      <c r="B71" s="19">
        <f>IFERROR(C60/B70,"")</f>
        <v>1.250000000000004</v>
      </c>
    </row>
    <row r="72" spans="1:6" x14ac:dyDescent="0.25">
      <c r="A72" t="s">
        <v>138</v>
      </c>
      <c r="B72" s="8">
        <f>IFERROR(C60-B70,"")</f>
        <v>115162.33840000146</v>
      </c>
    </row>
    <row r="73" spans="1:6" x14ac:dyDescent="0.25">
      <c r="A73" t="s">
        <v>139</v>
      </c>
      <c r="B73" s="18">
        <f>IFERROR(B72/B69,"")</f>
        <v>1.4830169422135492E-2</v>
      </c>
    </row>
    <row r="75" spans="1:6" x14ac:dyDescent="0.25">
      <c r="A75" s="2" t="s">
        <v>140</v>
      </c>
    </row>
  </sheetData>
  <hyperlinks>
    <hyperlink ref="A3" r:id="rId1" xr:uid="{40B8729B-8852-4E6C-B2C9-1B4E45C4C5B4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39 152 S Peck Dr</vt:lpstr>
      <vt:lpstr>'39 152 S Peck Dr'!Print_Area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2026-09-17T18:57:59Z</dcterms:created>
  <dcterms:modified xsi:type="dcterms:W3CDTF">2026-09-17T18:58:01Z</dcterms:modified>
</cp:coreProperties>
</file>