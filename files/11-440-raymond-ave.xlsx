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0FA90D9-2A00-4EC9-9533-D94B6155EE14}" xr6:coauthVersionLast="47" xr6:coauthVersionMax="47" xr10:uidLastSave="{00000000-0000-0000-0000-000000000000}"/>
  <bookViews>
    <workbookView xWindow="-120" yWindow="-120" windowWidth="29040" windowHeight="15720" activeTab="1" xr2:uid="{E73CA7AC-89CF-4F84-8638-D816B4D7F582}"/>
  </bookViews>
  <sheets>
    <sheet name="Assumptions" sheetId="1" r:id="rId1"/>
    <sheet name="11 440 Raymond Ave" sheetId="2" r:id="rId2"/>
  </sheets>
  <definedNames>
    <definedName name="_xlnm.Print_Area" localSheetId="1">'11 440 Raymond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B53" i="2"/>
  <c r="B52" i="2"/>
  <c r="E51" i="2"/>
  <c r="C51" i="2"/>
  <c r="D51" i="2" s="1"/>
  <c r="C50" i="2"/>
  <c r="D50" i="2" s="1"/>
  <c r="E50" i="2" s="1"/>
  <c r="C49" i="2"/>
  <c r="D49" i="2" s="1"/>
  <c r="E49" i="2" s="1"/>
  <c r="C48" i="2"/>
  <c r="D48" i="2" s="1"/>
  <c r="E48" i="2" s="1"/>
  <c r="C47" i="2"/>
  <c r="D47" i="2" s="1"/>
  <c r="E47" i="2" s="1"/>
  <c r="C45" i="2"/>
  <c r="D45" i="2" s="1"/>
  <c r="E45" i="2" s="1"/>
  <c r="C44" i="2"/>
  <c r="B39" i="2"/>
  <c r="B38" i="2"/>
  <c r="B40" i="2" s="1"/>
  <c r="D32" i="2"/>
  <c r="C32" i="2" s="1"/>
  <c r="B32" i="2"/>
  <c r="E31" i="2"/>
  <c r="D31" i="2"/>
  <c r="D30" i="2"/>
  <c r="E30" i="2" s="1"/>
  <c r="E32" i="2" s="1"/>
  <c r="C36" i="2" s="1"/>
  <c r="B24" i="2"/>
  <c r="B23" i="2"/>
  <c r="C61" i="2" l="1"/>
  <c r="C39" i="2"/>
  <c r="C38" i="2"/>
  <c r="C40" i="2" s="1"/>
  <c r="C46" i="2" s="1"/>
  <c r="D46" i="2" s="1"/>
  <c r="E46" i="2" s="1"/>
  <c r="B59" i="2"/>
  <c r="B54" i="2"/>
  <c r="C52" i="2"/>
  <c r="D44" i="2"/>
  <c r="D52" i="2" l="1"/>
  <c r="E44" i="2"/>
  <c r="C53" i="2"/>
  <c r="C54" i="2"/>
  <c r="B62" i="2"/>
  <c r="B60" i="2"/>
  <c r="C59" i="2"/>
  <c r="C60" i="2" l="1"/>
  <c r="B66" i="2"/>
  <c r="B67" i="2" s="1"/>
  <c r="C62" i="2"/>
  <c r="D53" i="2"/>
  <c r="E52" i="2"/>
  <c r="D54" i="2"/>
  <c r="B55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<sst xmlns="http://schemas.openxmlformats.org/spreadsheetml/2006/main" count="148" uniqueCount="140">
  <si>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</si>
  <si>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</si>
  <si>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</si>
  <si>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</si>
  <si>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</si>
  <si>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</si>
  <si>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</si>
  <si>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</si>
  <si>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</si>
  <si>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</si>
  <si>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</si>
  <si>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</si>
  <si>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</si>
  <si>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</si>
  <si>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</si>
  <si>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</si>
  <si>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</si>
  <si>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</si>
  <si>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</si>
  <si>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</si>
  <si>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</si>
  <si>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</si>
  <si>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</si>
  <si>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</si>
  <si>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</si>
  <si>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</si>
  <si>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</si>
  <si>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</si>
  <si>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</si>
  <si>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</si>
  <si>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</si>
  <si>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</si>
  <si>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</si>
  <si>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</si>
  <si>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</si>
  <si>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</si>
  <si>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</si>
  <si>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</si>
  <si>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</si>
  <si>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</si>
  <si>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</si>
  <si>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</si>
  <si>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</si>
  <si>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</si>
  <si>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</si>
  <si>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</si>
  <si>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</si>
  <si>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440 Raymond Ave</t>
  </si>
  <si>
    <t>Santa Monica, CA 90405  |  Santa Monica</t>
  </si>
  <si>
    <t>LoopNet listing</t>
  </si>
  <si>
    <t>Data pulled 9/17/2026 from LoopNet public listing + LAAA OM extraction (July 2026 intake)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</si>
  <si>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</si>
  <si>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</si>
  <si>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</si>
  <si>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</si>
  <si>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</si>
  <si>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</si>
  <si>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</si>
  <si>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</si>
  <si>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</si>
  <si>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Santa Monica - OP2</t>
  </si>
  <si>
    <t>Occupancy per listing</t>
  </si>
  <si>
    <t>95%</t>
  </si>
  <si>
    <t>APN</t>
  </si>
  <si>
    <t>4287-020-031</t>
  </si>
  <si>
    <t>Assessed value (current)</t>
  </si>
  <si>
    <t>Listing broker(s)</t>
  </si>
  <si>
    <t>Benjamin Hsiang, Don Favia</t>
  </si>
  <si>
    <t>Date on market</t>
  </si>
  <si>
    <t>6/16/2026</t>
  </si>
  <si>
    <t>Listing last updated</t>
  </si>
  <si>
    <t>8/14/2026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</si>
  <si>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</si>
  <si>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</si>
  <si>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</si>
  <si>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</si>
  <si>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</si>
  <si>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</si>
  <si>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</si>
  <si>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</si>
  <si>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</si>
  <si>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</si>
  <si>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</si>
  <si>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</si>
  <si>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</si>
  <si>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</si>
  <si>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</si>
  <si>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</si>
  <si>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</si>
  <si>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</si>
  <si>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</si>
  <si>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</si>
  <si>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</si>
  <si>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</si>
  <si>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rent roll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</si>
  <si>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</si>
  <si>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</si>
  <si>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</si>
  <si>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</si>
  <si>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</si>
  <si>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</si>
  <si>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</si>
  <si>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</si>
  <si>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</si>
  <si>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</si>
  <si>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</si>
  <si>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</si>
  <si>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</si>
  <si>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</si>
  <si>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</si>
  <si>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</si>
  <si>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</si>
  <si>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</si>
  <si>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</si>
  <si>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</si>
  <si>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</si>
  <si>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 / other OM items</t>
  </si>
  <si>
    <t>OM other items: Rent Control Fees 4,560; Manager/Keyholder 4,620</t>
  </si>
  <si>
    <t>Replacement reserves</t>
  </si>
  <si>
    <t>Total operating expenses</t>
  </si>
  <si>
    <t>OM claimed total 186,788 (lines mapped from OM extraction)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</si>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</sst>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D34CD72-2215-4F27-ADB1-5E7B6CC104E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440-Raymond-Ave-Santa-Monica-CA/409440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1614-B1FD-4562-9340-D30C2008B48A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2C2C-36DA-447D-BC26-7EFB69E8BF48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20</v>
      </c>
    </row>
    <row r="8" spans="1:3" x14ac:dyDescent="0.25">
      <c r="A8" t="s">
        <v>53</v>
      </c>
      <c r="B8" s="14">
        <v>15820</v>
      </c>
    </row>
    <row r="9" spans="1:3" x14ac:dyDescent="0.25">
      <c r="A9" t="s">
        <v>54</v>
      </c>
      <c r="B9" s="14">
        <v>13939</v>
      </c>
    </row>
    <row r="10" spans="1:3" x14ac:dyDescent="0.25">
      <c r="A10" t="s">
        <v>55</v>
      </c>
      <c r="B10" s="15">
        <v>0.32</v>
      </c>
    </row>
    <row r="11" spans="1:3" x14ac:dyDescent="0.25">
      <c r="A11" t="s">
        <v>56</v>
      </c>
      <c r="B11">
        <v>1969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2259813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7750000</v>
      </c>
    </row>
    <row r="23" spans="1:6" x14ac:dyDescent="0.25">
      <c r="A23" t="s">
        <v>74</v>
      </c>
      <c r="B23" s="8">
        <f>IFERROR(B22/B7,"")</f>
        <v>387500</v>
      </c>
    </row>
    <row r="24" spans="1:6" x14ac:dyDescent="0.25">
      <c r="A24" t="s">
        <v>75</v>
      </c>
      <c r="B24" s="16">
        <f>IFERROR(B22/B8,"")</f>
        <v>489.88621997471557</v>
      </c>
    </row>
    <row r="25" spans="1:6" x14ac:dyDescent="0.25">
      <c r="A25" t="s">
        <v>76</v>
      </c>
      <c r="B25" s="17">
        <v>5.57E-2</v>
      </c>
    </row>
    <row r="26" spans="1:6" x14ac:dyDescent="0.25">
      <c r="A26" t="s">
        <v>77</v>
      </c>
      <c r="B26" s="18">
        <v>12.15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8</v>
      </c>
      <c r="C30" s="4">
        <v>2927</v>
      </c>
      <c r="D30" s="8">
        <f>B30*C30</f>
        <v>23416</v>
      </c>
      <c r="E30" s="8">
        <f>D30*12</f>
        <v>280992</v>
      </c>
      <c r="F30" s="2" t="s">
        <v>86</v>
      </c>
    </row>
    <row r="31" spans="1:6" x14ac:dyDescent="0.25">
      <c r="A31" t="s">
        <v>87</v>
      </c>
      <c r="B31" s="14">
        <v>12</v>
      </c>
      <c r="C31" s="4">
        <v>2425</v>
      </c>
      <c r="D31" s="8">
        <f>B31*C31</f>
        <v>29100</v>
      </c>
      <c r="E31" s="8">
        <f>D31*12</f>
        <v>349200</v>
      </c>
      <c r="F31" s="2" t="s">
        <v>86</v>
      </c>
    </row>
    <row r="32" spans="1:6" x14ac:dyDescent="0.25">
      <c r="A32" s="20" t="s">
        <v>88</v>
      </c>
      <c r="B32" s="21">
        <f>SUM(B30:B31)</f>
        <v>20</v>
      </c>
      <c r="C32" s="22">
        <f>IFERROR(D32/B32,"")</f>
        <v>2625.8</v>
      </c>
      <c r="D32" s="22">
        <f>SUM(D30:D31)</f>
        <v>52516</v>
      </c>
      <c r="E32" s="22">
        <f>SUM(E30:E31)</f>
        <v>630192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631196</v>
      </c>
      <c r="C36" s="8">
        <f>E32</f>
        <v>630192</v>
      </c>
      <c r="F36" s="2" t="s">
        <v>94</v>
      </c>
    </row>
    <row r="37" spans="1:6" x14ac:dyDescent="0.25">
      <c r="A37" t="s">
        <v>95</v>
      </c>
      <c r="B37" s="8">
        <v>7740</v>
      </c>
      <c r="C37" s="4">
        <v>7740</v>
      </c>
    </row>
    <row r="38" spans="1:6" x14ac:dyDescent="0.25">
      <c r="A38" s="20" t="s">
        <v>96</v>
      </c>
      <c r="B38" s="8">
        <f>B36+B37</f>
        <v>638936</v>
      </c>
      <c r="C38" s="8">
        <f>C36+C37</f>
        <v>637932</v>
      </c>
    </row>
    <row r="39" spans="1:6" x14ac:dyDescent="0.25">
      <c r="A39" t="s">
        <v>97</v>
      </c>
      <c r="B39" s="8">
        <f>-B36*0.03</f>
        <v>-18935.88</v>
      </c>
      <c r="C39" s="8">
        <f>-C36*Assumptions!$B$3</f>
        <v>-18905.759999999998</v>
      </c>
      <c r="F39" s="2" t="s">
        <v>98</v>
      </c>
    </row>
    <row r="40" spans="1:6" x14ac:dyDescent="0.25">
      <c r="A40" s="20" t="s">
        <v>99</v>
      </c>
      <c r="B40" s="22">
        <f>B38+B39</f>
        <v>620000.12</v>
      </c>
      <c r="C40" s="22">
        <f>C38+C39</f>
        <v>619026.24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>
        <v>93000</v>
      </c>
      <c r="C44" s="8">
        <f>B22*Assumptions!$B$16</f>
        <v>89125</v>
      </c>
      <c r="D44" s="24">
        <f>C44</f>
        <v>89125</v>
      </c>
      <c r="E44" s="8">
        <f t="shared" ref="E44:E52" si="0">IF(ISNUMBER(B44),D44-B44,"")</f>
        <v>-3875</v>
      </c>
      <c r="F44" s="2" t="s">
        <v>105</v>
      </c>
    </row>
    <row r="45" spans="1:6" x14ac:dyDescent="0.25">
      <c r="A45" t="s">
        <v>106</v>
      </c>
      <c r="B45" s="8">
        <v>15820</v>
      </c>
      <c r="C45" s="8">
        <f>B7*Assumptions!$B$5+B8*Assumptions!$B$6</f>
        <v>19820</v>
      </c>
      <c r="D45" s="24">
        <f t="shared" ref="D45:D51" si="1">IF(ISNUMBER(B45),MAX(B45,C45),C45)</f>
        <v>19820</v>
      </c>
      <c r="E45" s="8">
        <f t="shared" si="0"/>
        <v>4000</v>
      </c>
      <c r="F45" s="2" t="s">
        <v>107</v>
      </c>
    </row>
    <row r="46" spans="1:6" x14ac:dyDescent="0.25">
      <c r="A46" t="s">
        <v>108</v>
      </c>
      <c r="B46" s="8">
        <v>24388</v>
      </c>
      <c r="C46" s="8">
        <f>C40*Assumptions!$B$4</f>
        <v>30951.312000000002</v>
      </c>
      <c r="D46" s="24">
        <f t="shared" si="1"/>
        <v>30951.312000000002</v>
      </c>
      <c r="E46" s="8">
        <f t="shared" si="0"/>
        <v>6563.3120000000017</v>
      </c>
      <c r="F46" s="2" t="s">
        <v>109</v>
      </c>
    </row>
    <row r="47" spans="1:6" x14ac:dyDescent="0.25">
      <c r="A47" t="s">
        <v>110</v>
      </c>
      <c r="B47" s="8">
        <v>22000</v>
      </c>
      <c r="C47" s="8">
        <f>B7*Assumptions!$B$7</f>
        <v>24000</v>
      </c>
      <c r="D47" s="24">
        <f t="shared" si="1"/>
        <v>24000</v>
      </c>
      <c r="E47" s="8">
        <f t="shared" si="0"/>
        <v>2000</v>
      </c>
      <c r="F47" s="2" t="s">
        <v>111</v>
      </c>
    </row>
    <row r="48" spans="1:6" x14ac:dyDescent="0.25">
      <c r="A48" t="s">
        <v>112</v>
      </c>
      <c r="B48" s="8">
        <v>20000</v>
      </c>
      <c r="C48" s="8">
        <f>B7*Assumptions!$B$10</f>
        <v>36000</v>
      </c>
      <c r="D48" s="24">
        <f t="shared" si="1"/>
        <v>36000</v>
      </c>
      <c r="E48" s="8">
        <f t="shared" si="0"/>
        <v>16000</v>
      </c>
      <c r="F48" s="2" t="s">
        <v>113</v>
      </c>
    </row>
    <row r="49" spans="1:6" x14ac:dyDescent="0.25">
      <c r="A49" t="s">
        <v>114</v>
      </c>
      <c r="B49" s="8">
        <v>2400</v>
      </c>
      <c r="C49" s="8">
        <f>B7*Assumptions!$B$12</f>
        <v>8000</v>
      </c>
      <c r="D49" s="24">
        <f t="shared" si="1"/>
        <v>8000</v>
      </c>
      <c r="E49" s="8">
        <f t="shared" si="0"/>
        <v>5600</v>
      </c>
      <c r="F49" s="2" t="s">
        <v>115</v>
      </c>
    </row>
    <row r="50" spans="1:6" x14ac:dyDescent="0.25">
      <c r="A50" t="s">
        <v>116</v>
      </c>
      <c r="B50" s="8">
        <v>9180</v>
      </c>
      <c r="C50" s="8">
        <f>B7*Assumptions!$B$13</f>
        <v>5000</v>
      </c>
      <c r="D50" s="24">
        <f t="shared" si="1"/>
        <v>9180</v>
      </c>
      <c r="E50" s="8">
        <f t="shared" si="0"/>
        <v>0</v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6000</v>
      </c>
      <c r="D51" s="24">
        <f t="shared" si="1"/>
        <v>6000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SUM(B44:B51)</f>
        <v>186788</v>
      </c>
      <c r="C52" s="22">
        <f>SUM(C44:C51)</f>
        <v>218896.31200000001</v>
      </c>
      <c r="D52" s="22">
        <f>SUM(D44:D51)</f>
        <v>223076.31200000001</v>
      </c>
      <c r="E52" s="22">
        <f t="shared" si="0"/>
        <v>36288.312000000005</v>
      </c>
      <c r="F52" s="2" t="s">
        <v>120</v>
      </c>
    </row>
    <row r="53" spans="1:6" x14ac:dyDescent="0.25">
      <c r="A53" t="s">
        <v>121</v>
      </c>
      <c r="B53" s="8">
        <f>IFERROR(B52/B7,"")</f>
        <v>9339.4</v>
      </c>
      <c r="C53" s="8">
        <f>IFERROR(C52/B7,"")</f>
        <v>10944.8156</v>
      </c>
      <c r="D53" s="8">
        <f>IFERROR(D52/B7,"")</f>
        <v>11153.8156</v>
      </c>
    </row>
    <row r="54" spans="1:6" x14ac:dyDescent="0.25">
      <c r="A54" t="s">
        <v>122</v>
      </c>
      <c r="B54" s="17">
        <f>IFERROR(B52/B40,"")</f>
        <v>0.30127090943143686</v>
      </c>
      <c r="C54" s="17">
        <f>IFERROR(C52/C40,"")</f>
        <v>0.3536139469628945</v>
      </c>
      <c r="D54" s="17">
        <f>IF(C36&gt;0,IFERROR(D52/C40,""),"")</f>
        <v>0.36036648785679909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433212.12</v>
      </c>
      <c r="C59" s="22">
        <f>IF(C36&gt;0,C40-D52,"")</f>
        <v>395949.92799999996</v>
      </c>
    </row>
    <row r="60" spans="1:6" x14ac:dyDescent="0.25">
      <c r="A60" s="20" t="s">
        <v>126</v>
      </c>
      <c r="B60" s="17">
        <f>IFERROR(B59/B22,"")</f>
        <v>5.5898338064516127E-2</v>
      </c>
      <c r="C60" s="17">
        <f>IF(C59="","",IFERROR(C59/B22,""))</f>
        <v>5.1090313290322577E-2</v>
      </c>
      <c r="F60" s="2" t="s">
        <v>127</v>
      </c>
    </row>
    <row r="61" spans="1:6" x14ac:dyDescent="0.25">
      <c r="A61" t="s">
        <v>128</v>
      </c>
      <c r="B61" s="18">
        <f>IFERROR(B22/B36,"")</f>
        <v>12.278278062598622</v>
      </c>
      <c r="C61" s="18">
        <f>IF(C36&gt;0,IFERROR(B22/C36,""),"")</f>
        <v>12.297839388630766</v>
      </c>
    </row>
    <row r="62" spans="1:6" x14ac:dyDescent="0.25">
      <c r="A62" t="s">
        <v>129</v>
      </c>
      <c r="B62" s="8">
        <f>IFERROR(B59/B7,"")</f>
        <v>21660.606</v>
      </c>
      <c r="C62" s="8">
        <f>IF(C59="","",IFERROR(C59/B7,""))</f>
        <v>19797.496399999996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4650000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4287140.565244331</v>
      </c>
    </row>
    <row r="67" spans="1:2" x14ac:dyDescent="0.25">
      <c r="A67" s="20" t="s">
        <v>133</v>
      </c>
      <c r="B67" s="8">
        <f>IFERROR(MIN(B65,B66),"")</f>
        <v>4287140.565244331</v>
      </c>
    </row>
    <row r="68" spans="1:2" x14ac:dyDescent="0.25">
      <c r="A68" t="s">
        <v>134</v>
      </c>
      <c r="B68" s="8">
        <f>IFERROR(B22-B67,"")</f>
        <v>3462859.434755669</v>
      </c>
    </row>
    <row r="69" spans="1:2" x14ac:dyDescent="0.25">
      <c r="A69" t="s">
        <v>135</v>
      </c>
      <c r="B69" s="8">
        <f>IFERROR(-PMT(Assumptions!$B$22/12,Assumptions!$B$23*12,B67)*12,"")</f>
        <v>316759.94239999889</v>
      </c>
    </row>
    <row r="70" spans="1:2" x14ac:dyDescent="0.25">
      <c r="A70" t="s">
        <v>136</v>
      </c>
      <c r="B70" s="18">
        <f>IFERROR(C59/B69,"")</f>
        <v>1.2500000000000042</v>
      </c>
    </row>
    <row r="71" spans="1:2" x14ac:dyDescent="0.25">
      <c r="A71" t="s">
        <v>137</v>
      </c>
      <c r="B71" s="8">
        <f>IFERROR(C59-B69,"")</f>
        <v>79189.985600001062</v>
      </c>
    </row>
    <row r="72" spans="1:2" x14ac:dyDescent="0.25">
      <c r="A72" t="s">
        <v>138</v>
      </c>
      <c r="B72" s="17">
        <f>IFERROR(B71/B68,"")</f>
        <v>2.2868380046038028E-2</v>
      </c>
    </row>
    <row r="74" spans="1:2" x14ac:dyDescent="0.25">
      <c r="A74" s="2" t="s">
        <v>139</v>
      </c>
    </row>
  </sheetData>
  <hyperlinks>
    <hyperlink ref="A3" r:id="rId1" xr:uid="{D5B98E85-27BF-494D-A374-1D14656009C3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11 440 Raymond Ave</vt:lpstr>
      <vt:lpstr>'11 440 Raymond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2026-09-17T19:46:50Z</dcterms:created>
  <dcterms:modified xsi:type="dcterms:W3CDTF">2026-09-17T19:46:53Z</dcterms:modified>
</cp:coreProperties>
</file>